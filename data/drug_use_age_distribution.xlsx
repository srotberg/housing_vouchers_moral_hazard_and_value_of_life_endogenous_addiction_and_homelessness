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n_calcuations" sheetId="1" r:id="rId4"/>
    <sheet state="visible" name="addiction_by_age_SAMHSA" sheetId="2" r:id="rId5"/>
  </sheets>
  <definedNames/>
  <calcPr/>
</workbook>
</file>

<file path=xl/sharedStrings.xml><?xml version="1.0" encoding="utf-8"?>
<sst xmlns="http://schemas.openxmlformats.org/spreadsheetml/2006/main" count="51" uniqueCount="37">
  <si>
    <t>Age</t>
  </si>
  <si>
    <t>%</t>
  </si>
  <si>
    <t>mid-point</t>
  </si>
  <si>
    <t>avg. age</t>
  </si>
  <si>
    <t>% excluding 25 and below</t>
  </si>
  <si>
    <t>avg. age excluding 25 and below</t>
  </si>
  <si>
    <t>all users</t>
  </si>
  <si>
    <t>12-13</t>
  </si>
  <si>
    <t>all users excluding 25 and below</t>
  </si>
  <si>
    <t>14-15</t>
  </si>
  <si>
    <t>16-17</t>
  </si>
  <si>
    <t>18-20</t>
  </si>
  <si>
    <t>21-25</t>
  </si>
  <si>
    <t>26-29</t>
  </si>
  <si>
    <t>30-34</t>
  </si>
  <si>
    <t>35-39</t>
  </si>
  <si>
    <t>40-44</t>
  </si>
  <si>
    <t>45-49</t>
  </si>
  <si>
    <t>50-54</t>
  </si>
  <si>
    <t>55-59</t>
  </si>
  <si>
    <t>60-64</t>
  </si>
  <si>
    <t>65 or Older</t>
  </si>
  <si>
    <t>Substance Use
Disorder
(2023)</t>
  </si>
  <si>
    <t>Table 5.3A</t>
  </si>
  <si>
    <t>https://www.samhsa.gov/data/sites/default/files/reports/rpt47100/NSDUHDetailedTabs2023/NSDUHDetailedTabs2023/2023-nsduh-detailed-tables-sect5pe.htm?utm_source=chatgpt.com</t>
  </si>
  <si>
    <t>TOTAL</t>
  </si>
  <si>
    <t>12-201</t>
  </si>
  <si>
    <t>21 or Older1</t>
  </si>
  <si>
    <t>12-17</t>
  </si>
  <si>
    <t>96a</t>
  </si>
  <si>
    <t>329a</t>
  </si>
  <si>
    <t>18 or Older</t>
  </si>
  <si>
    <t>18-25</t>
  </si>
  <si>
    <t>5,689a</t>
  </si>
  <si>
    <t>26 or Older</t>
  </si>
  <si>
    <t>26-49</t>
  </si>
  <si>
    <t>50 or 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</si>
</sst>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4A4A4A"/>
      <name val="Tahoma"/>
    </font>
    <font>
      <b/>
      <sz val="11.0"/>
      <color rgb="FF4A4A4A"/>
      <name val="Tahoma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2">
    <border/>
    <border>
      <left style="medium">
        <color rgb="FF111111"/>
      </left>
      <right style="medium">
        <color rgb="FF111111"/>
      </right>
      <top style="medium">
        <color rgb="FF111111"/>
      </top>
      <bottom style="medium">
        <color rgb="FF111111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horizontal="left"/>
    </xf>
    <xf borderId="1" fillId="2" fontId="3" numFmtId="0" xfId="0" applyAlignment="1" applyBorder="1" applyFill="1" applyFont="1">
      <alignment horizontal="left" readingOrder="0" vertical="bottom"/>
    </xf>
    <xf borderId="0" fillId="0" fontId="2" numFmtId="164" xfId="0" applyAlignment="1" applyFont="1" applyNumberForma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1" fillId="0" fontId="3" numFmtId="0" xfId="0" applyAlignment="1" applyBorder="1" applyFont="1">
      <alignment horizontal="left" readingOrder="0" vertical="bottom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 vertical="bottom"/>
    </xf>
    <xf borderId="1" fillId="0" fontId="4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readingOrder="0"/>
    </xf>
    <xf borderId="1" fillId="2" fontId="4" numFmtId="0" xfId="0" applyAlignment="1" applyBorder="1" applyFont="1">
      <alignment horizontal="left" readingOrder="0" vertical="bottom"/>
    </xf>
    <xf borderId="1" fillId="2" fontId="3" numFmtId="3" xfId="0" applyAlignment="1" applyBorder="1" applyFont="1" applyNumberFormat="1">
      <alignment horizontal="right" readingOrder="0" shrinkToFit="0" vertical="bottom" wrapText="0"/>
    </xf>
    <xf borderId="1" fillId="0" fontId="3" numFmtId="3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mhsa.gov/data/sites/default/files/reports/rpt47100/NSDUHDetailedTabs2023/NSDUHDetailedTabs2023/2023-nsduh-detailed-tables-sect5pe.htm?utm_source=chatgpt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5.13"/>
    <col customWidth="1" min="3" max="3" width="7.88"/>
    <col customWidth="1" min="4" max="4" width="10.38"/>
    <col customWidth="1" min="5" max="5" width="20.38"/>
    <col customWidth="1" min="6" max="6" width="25.25"/>
    <col customWidth="1" min="7" max="7" width="2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4">
        <f>addiction_by_age_SAMHSA!G2</f>
        <v>48464</v>
      </c>
    </row>
    <row r="2">
      <c r="A2" s="5" t="s">
        <v>7</v>
      </c>
      <c r="B2" s="6">
        <f>addiction_by_age_SAMHSA!G6/$H$1</f>
        <v>0.004518818092</v>
      </c>
      <c r="C2" s="1">
        <v>12.5</v>
      </c>
      <c r="D2" s="7">
        <f t="shared" ref="D2:D15" si="1">C2*B2</f>
        <v>0.05648522615</v>
      </c>
      <c r="E2" s="8"/>
      <c r="G2" s="1" t="s">
        <v>8</v>
      </c>
      <c r="H2" s="4">
        <f>addiction_by_age_SAMHSA!G13</f>
        <v>37044</v>
      </c>
    </row>
    <row r="3">
      <c r="A3" s="9" t="s">
        <v>9</v>
      </c>
      <c r="B3" s="6">
        <f>addiction_by_age_SAMHSA!G7/$H$1</f>
        <v>0.01628012545</v>
      </c>
      <c r="C3" s="1">
        <v>14.5</v>
      </c>
      <c r="D3" s="7">
        <f t="shared" si="1"/>
        <v>0.2360618191</v>
      </c>
      <c r="E3" s="8"/>
    </row>
    <row r="4">
      <c r="A4" s="5" t="s">
        <v>10</v>
      </c>
      <c r="B4" s="6">
        <f>addiction_by_age_SAMHSA!G8/$H$1</f>
        <v>0.02440987124</v>
      </c>
      <c r="C4" s="1">
        <v>16.5</v>
      </c>
      <c r="D4" s="7">
        <f t="shared" si="1"/>
        <v>0.4027628755</v>
      </c>
      <c r="E4" s="8"/>
    </row>
    <row r="5">
      <c r="A5" s="9" t="s">
        <v>11</v>
      </c>
      <c r="B5" s="6">
        <f>addiction_by_age_SAMHSA!G11/$H$1</f>
        <v>0.05965252559</v>
      </c>
      <c r="C5" s="1">
        <v>19.0</v>
      </c>
      <c r="D5" s="7">
        <f t="shared" si="1"/>
        <v>1.133397986</v>
      </c>
      <c r="E5" s="8"/>
    </row>
    <row r="6">
      <c r="A6" s="5" t="s">
        <v>12</v>
      </c>
      <c r="B6" s="6">
        <f>addiction_by_age_SAMHSA!G12/$H$1</f>
        <v>0.1307568504</v>
      </c>
      <c r="C6" s="1">
        <v>23.0</v>
      </c>
      <c r="D6" s="7">
        <f t="shared" si="1"/>
        <v>3.00740756</v>
      </c>
      <c r="E6" s="8"/>
    </row>
    <row r="7">
      <c r="A7" s="9" t="s">
        <v>13</v>
      </c>
      <c r="B7" s="6">
        <f>addiction_by_age_SAMHSA!G15/$H$1</f>
        <v>0.1011266094</v>
      </c>
      <c r="C7" s="8">
        <f>27</f>
        <v>27</v>
      </c>
      <c r="D7" s="7">
        <f t="shared" si="1"/>
        <v>2.730418455</v>
      </c>
      <c r="E7" s="6">
        <f>addiction_by_age_SAMHSA!G15/$H$2</f>
        <v>0.1323021272</v>
      </c>
      <c r="F7" s="8">
        <f t="shared" ref="F7:F15" si="2">E7*C7</f>
        <v>3.572157434</v>
      </c>
    </row>
    <row r="8">
      <c r="A8" s="5" t="s">
        <v>14</v>
      </c>
      <c r="B8" s="6">
        <f>addiction_by_age_SAMHSA!G16/$H$1</f>
        <v>0.1159829977</v>
      </c>
      <c r="C8" s="8">
        <f>32</f>
        <v>32</v>
      </c>
      <c r="D8" s="7">
        <f t="shared" si="1"/>
        <v>3.711455926</v>
      </c>
      <c r="E8" s="6">
        <f>addiction_by_age_SAMHSA!G16/$H$2</f>
        <v>0.1517384732</v>
      </c>
      <c r="F8" s="8">
        <f t="shared" si="2"/>
        <v>4.855631141</v>
      </c>
    </row>
    <row r="9">
      <c r="A9" s="9" t="s">
        <v>15</v>
      </c>
      <c r="B9" s="6">
        <f>addiction_by_age_SAMHSA!G17/$H$1</f>
        <v>0.1045105645</v>
      </c>
      <c r="C9" s="8">
        <f>37</f>
        <v>37</v>
      </c>
      <c r="D9" s="7">
        <f t="shared" si="1"/>
        <v>3.866890888</v>
      </c>
      <c r="E9" s="6">
        <f>addiction_by_age_SAMHSA!G17/$H$2</f>
        <v>0.1367292949</v>
      </c>
      <c r="F9" s="8">
        <f t="shared" si="2"/>
        <v>5.058983911</v>
      </c>
    </row>
    <row r="10">
      <c r="A10" s="5" t="s">
        <v>16</v>
      </c>
      <c r="B10" s="6">
        <f>addiction_by_age_SAMHSA!G18/$H$1</f>
        <v>0.08699240673</v>
      </c>
      <c r="C10" s="8">
        <f>42</f>
        <v>42</v>
      </c>
      <c r="D10" s="7">
        <f t="shared" si="1"/>
        <v>3.653681083</v>
      </c>
      <c r="E10" s="6">
        <f>addiction_by_age_SAMHSA!G18/$H$2</f>
        <v>0.1138106036</v>
      </c>
      <c r="F10" s="8">
        <f t="shared" si="2"/>
        <v>4.780045351</v>
      </c>
    </row>
    <row r="11">
      <c r="A11" s="9" t="s">
        <v>17</v>
      </c>
      <c r="B11" s="6">
        <f>addiction_by_age_SAMHSA!G19/$H$1</f>
        <v>0.07207411687</v>
      </c>
      <c r="C11" s="8">
        <f>47</f>
        <v>47</v>
      </c>
      <c r="D11" s="7">
        <f t="shared" si="1"/>
        <v>3.387483493</v>
      </c>
      <c r="E11" s="6">
        <f>addiction_by_age_SAMHSA!G19/$H$2</f>
        <v>0.09429327286</v>
      </c>
      <c r="F11" s="8">
        <f t="shared" si="2"/>
        <v>4.431783825</v>
      </c>
    </row>
    <row r="12">
      <c r="A12" s="9" t="s">
        <v>18</v>
      </c>
      <c r="B12" s="6">
        <f>addiction_by_age_SAMHSA!G21/$H$1</f>
        <v>0.06373803235</v>
      </c>
      <c r="C12" s="1">
        <v>52.0</v>
      </c>
      <c r="D12" s="7">
        <f t="shared" si="1"/>
        <v>3.314377682</v>
      </c>
      <c r="E12" s="6">
        <f>addiction_by_age_SAMHSA!G21/$H$2</f>
        <v>0.08338732318</v>
      </c>
      <c r="F12" s="8">
        <f t="shared" si="2"/>
        <v>4.336140806</v>
      </c>
    </row>
    <row r="13">
      <c r="A13" s="5" t="s">
        <v>19</v>
      </c>
      <c r="B13" s="6">
        <f>addiction_by_age_SAMHSA!G22/$H$1</f>
        <v>0.05926048201</v>
      </c>
      <c r="C13" s="1">
        <v>57.0</v>
      </c>
      <c r="D13" s="7">
        <f t="shared" si="1"/>
        <v>3.377847474</v>
      </c>
      <c r="E13" s="6">
        <f>addiction_by_age_SAMHSA!G22/$H$2</f>
        <v>0.07752942447</v>
      </c>
      <c r="F13" s="8">
        <f t="shared" si="2"/>
        <v>4.419177195</v>
      </c>
    </row>
    <row r="14">
      <c r="A14" s="9" t="s">
        <v>20</v>
      </c>
      <c r="B14" s="6">
        <f>addiction_by_age_SAMHSA!G23/$H$1</f>
        <v>0.06553317927</v>
      </c>
      <c r="C14" s="1">
        <v>62.0</v>
      </c>
      <c r="D14" s="7">
        <f t="shared" si="1"/>
        <v>4.063057115</v>
      </c>
      <c r="E14" s="6">
        <f>addiction_by_age_SAMHSA!G23/$H$2</f>
        <v>0.08573588165</v>
      </c>
      <c r="F14" s="8">
        <f t="shared" si="2"/>
        <v>5.315624663</v>
      </c>
    </row>
    <row r="15">
      <c r="A15" s="5" t="s">
        <v>21</v>
      </c>
      <c r="B15" s="6">
        <f>addiction_by_age_SAMHSA!G24/$H$1</f>
        <v>0.09512215253</v>
      </c>
      <c r="C15" s="1">
        <v>70.0</v>
      </c>
      <c r="D15" s="7">
        <f t="shared" si="1"/>
        <v>6.658550677</v>
      </c>
      <c r="E15" s="6">
        <f>addiction_by_age_SAMHSA!G24/$H$2</f>
        <v>0.124446604</v>
      </c>
      <c r="F15" s="8">
        <f t="shared" si="2"/>
        <v>8.711262283</v>
      </c>
    </row>
    <row r="16">
      <c r="B16" s="8"/>
      <c r="C16" s="8"/>
      <c r="D16" s="7">
        <f>sum(D2:D15)</f>
        <v>39.59987826</v>
      </c>
      <c r="E16" s="7"/>
      <c r="F16" s="7">
        <f>sum(F2:F15)</f>
        <v>45.48080661</v>
      </c>
    </row>
    <row r="17">
      <c r="A17" s="1"/>
      <c r="B17" s="10">
        <f>sum(B2:B7)</f>
        <v>0.3367448003</v>
      </c>
      <c r="C17" s="8"/>
      <c r="D17" s="7"/>
      <c r="E17" s="8"/>
    </row>
    <row r="18">
      <c r="C18" s="8"/>
      <c r="D18" s="11"/>
      <c r="E18" s="8"/>
    </row>
    <row r="19">
      <c r="C19" s="8"/>
      <c r="D19" s="11"/>
      <c r="E1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9.38"/>
    <col customWidth="1" min="3" max="3" width="9.25"/>
    <col customWidth="1" min="4" max="4" width="12.0"/>
    <col customWidth="1" min="5" max="5" width="27.38"/>
    <col customWidth="1" min="6" max="6" width="7.25"/>
    <col customWidth="1" min="7" max="7" width="44.5"/>
    <col customWidth="1" min="8" max="8" width="27.13"/>
    <col customWidth="1" min="9" max="9" width="8.75"/>
    <col customWidth="1" min="10" max="10" width="22.63"/>
    <col customWidth="1" min="11" max="11" width="24.0"/>
    <col customWidth="1" min="13" max="13" width="21.88"/>
    <col customWidth="1" min="18" max="18" width="17.63"/>
    <col customWidth="1" min="19" max="19" width="17.25"/>
    <col customWidth="1" min="21" max="21" width="6.5"/>
  </cols>
  <sheetData>
    <row r="1">
      <c r="A1" s="12" t="s">
        <v>22</v>
      </c>
      <c r="B1" s="1" t="s">
        <v>23</v>
      </c>
      <c r="C1" s="13" t="s">
        <v>24</v>
      </c>
      <c r="D1" s="1"/>
      <c r="E1" s="1"/>
      <c r="F1" s="1"/>
      <c r="G1" s="1"/>
      <c r="H1" s="1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11"/>
      <c r="V1" s="8"/>
      <c r="W1" s="8"/>
      <c r="X1" s="8"/>
      <c r="Y1" s="8"/>
      <c r="Z1" s="8"/>
      <c r="AA1" s="8"/>
      <c r="AB1" s="8"/>
      <c r="AC1" s="8"/>
      <c r="AD1" s="8"/>
    </row>
    <row r="2">
      <c r="A2" s="14" t="s">
        <v>25</v>
      </c>
      <c r="B2" s="15">
        <v>27230.0</v>
      </c>
      <c r="C2" s="15">
        <v>27153.0</v>
      </c>
      <c r="D2" s="15">
        <v>29542.0</v>
      </c>
      <c r="E2" s="15">
        <v>28859.0</v>
      </c>
      <c r="F2" s="15">
        <v>48722.0</v>
      </c>
      <c r="G2" s="15">
        <v>48464.0</v>
      </c>
      <c r="H2" s="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1"/>
      <c r="V2" s="8"/>
      <c r="W2" s="8"/>
      <c r="X2" s="8"/>
      <c r="Y2" s="8"/>
      <c r="Z2" s="8"/>
      <c r="AA2" s="8"/>
      <c r="AB2" s="8"/>
      <c r="AC2" s="8"/>
      <c r="AD2" s="8"/>
    </row>
    <row r="3">
      <c r="A3" s="9" t="s">
        <v>26</v>
      </c>
      <c r="B3" s="16">
        <v>4041.0</v>
      </c>
      <c r="C3" s="16">
        <v>3869.0</v>
      </c>
      <c r="D3" s="16">
        <v>2215.0</v>
      </c>
      <c r="E3" s="16">
        <v>2109.0</v>
      </c>
      <c r="F3" s="16">
        <v>5188.0</v>
      </c>
      <c r="G3" s="16">
        <v>5082.0</v>
      </c>
      <c r="H3" s="1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1"/>
      <c r="V3" s="8"/>
      <c r="W3" s="8"/>
      <c r="X3" s="8"/>
      <c r="Y3" s="8"/>
      <c r="Z3" s="8"/>
      <c r="AA3" s="8"/>
      <c r="AB3" s="8"/>
      <c r="AC3" s="8"/>
      <c r="AD3" s="8"/>
    </row>
    <row r="4">
      <c r="A4" s="5" t="s">
        <v>27</v>
      </c>
      <c r="B4" s="15">
        <v>23189.0</v>
      </c>
      <c r="C4" s="15">
        <v>23284.0</v>
      </c>
      <c r="D4" s="15">
        <v>27326.0</v>
      </c>
      <c r="E4" s="15">
        <v>26750.0</v>
      </c>
      <c r="F4" s="15">
        <v>43534.0</v>
      </c>
      <c r="G4" s="15">
        <v>43381.0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1"/>
      <c r="V4" s="8"/>
      <c r="W4" s="8"/>
      <c r="X4" s="8"/>
      <c r="Y4" s="8"/>
      <c r="Z4" s="8"/>
      <c r="AA4" s="8"/>
      <c r="AB4" s="8"/>
      <c r="AC4" s="8"/>
      <c r="AD4" s="8"/>
    </row>
    <row r="5">
      <c r="A5" s="17" t="s">
        <v>28</v>
      </c>
      <c r="B5" s="16">
        <v>1813.0</v>
      </c>
      <c r="C5" s="16">
        <v>1780.0</v>
      </c>
      <c r="D5" s="18">
        <v>753.0</v>
      </c>
      <c r="E5" s="18">
        <v>757.0</v>
      </c>
      <c r="F5" s="16">
        <v>2228.0</v>
      </c>
      <c r="G5" s="16">
        <v>2192.0</v>
      </c>
      <c r="H5" s="1"/>
      <c r="I5" s="11"/>
      <c r="J5" s="8"/>
      <c r="K5" s="8"/>
      <c r="L5" s="8"/>
      <c r="M5" s="8"/>
      <c r="N5" s="8"/>
      <c r="O5" s="11"/>
      <c r="P5" s="11"/>
      <c r="Q5" s="11"/>
      <c r="R5" s="11"/>
      <c r="S5" s="11"/>
      <c r="T5" s="8"/>
      <c r="U5" s="11"/>
      <c r="V5" s="8"/>
      <c r="W5" s="8"/>
      <c r="X5" s="8"/>
      <c r="Y5" s="8"/>
      <c r="Z5" s="8"/>
      <c r="AA5" s="8"/>
      <c r="AB5" s="8"/>
      <c r="AC5" s="8"/>
      <c r="AD5" s="8"/>
    </row>
    <row r="6">
      <c r="A6" s="5" t="s">
        <v>7</v>
      </c>
      <c r="B6" s="19">
        <v>262.0</v>
      </c>
      <c r="C6" s="19">
        <v>196.0</v>
      </c>
      <c r="D6" s="19" t="s">
        <v>29</v>
      </c>
      <c r="E6" s="19">
        <v>37.0</v>
      </c>
      <c r="F6" s="19" t="s">
        <v>30</v>
      </c>
      <c r="G6" s="19">
        <v>219.0</v>
      </c>
      <c r="H6" s="8"/>
      <c r="I6" s="11"/>
      <c r="J6" s="8"/>
      <c r="K6" s="8"/>
      <c r="L6" s="8"/>
      <c r="M6" s="8"/>
      <c r="N6" s="8"/>
      <c r="O6" s="11"/>
      <c r="P6" s="11"/>
      <c r="Q6" s="11"/>
      <c r="R6" s="11"/>
      <c r="S6" s="11"/>
      <c r="T6" s="8"/>
      <c r="U6" s="11"/>
      <c r="V6" s="8"/>
      <c r="W6" s="8"/>
      <c r="X6" s="8"/>
      <c r="Y6" s="8"/>
      <c r="Z6" s="8"/>
      <c r="AA6" s="8"/>
      <c r="AB6" s="8"/>
      <c r="AC6" s="8"/>
      <c r="AD6" s="8"/>
    </row>
    <row r="7">
      <c r="A7" s="9" t="s">
        <v>9</v>
      </c>
      <c r="B7" s="18">
        <v>639.0</v>
      </c>
      <c r="C7" s="18">
        <v>646.0</v>
      </c>
      <c r="D7" s="18">
        <v>209.0</v>
      </c>
      <c r="E7" s="18">
        <v>272.0</v>
      </c>
      <c r="F7" s="18">
        <v>746.0</v>
      </c>
      <c r="G7" s="18">
        <v>789.0</v>
      </c>
      <c r="H7" s="8"/>
      <c r="I7" s="11"/>
      <c r="J7" s="8"/>
      <c r="K7" s="11"/>
      <c r="L7" s="8"/>
      <c r="M7" s="8"/>
      <c r="N7" s="8"/>
      <c r="O7" s="11"/>
      <c r="P7" s="11"/>
      <c r="Q7" s="11"/>
      <c r="R7" s="11"/>
      <c r="S7" s="11"/>
      <c r="T7" s="8"/>
      <c r="U7" s="11"/>
      <c r="V7" s="8"/>
      <c r="W7" s="8"/>
      <c r="X7" s="8"/>
      <c r="Y7" s="8"/>
      <c r="Z7" s="8"/>
      <c r="AA7" s="8"/>
      <c r="AB7" s="8"/>
      <c r="AC7" s="8"/>
      <c r="AD7" s="8"/>
    </row>
    <row r="8">
      <c r="A8" s="5" t="s">
        <v>10</v>
      </c>
      <c r="B8" s="19">
        <v>912.0</v>
      </c>
      <c r="C8" s="19">
        <v>938.0</v>
      </c>
      <c r="D8" s="19">
        <v>448.0</v>
      </c>
      <c r="E8" s="19">
        <v>448.0</v>
      </c>
      <c r="F8" s="15">
        <v>1152.0</v>
      </c>
      <c r="G8" s="15">
        <v>1183.0</v>
      </c>
      <c r="H8" s="2"/>
      <c r="I8" s="11"/>
      <c r="J8" s="8"/>
      <c r="K8" s="11"/>
      <c r="L8" s="8"/>
      <c r="M8" s="8"/>
      <c r="N8" s="8"/>
      <c r="O8" s="11"/>
      <c r="P8" s="11"/>
      <c r="Q8" s="11"/>
      <c r="R8" s="11"/>
      <c r="S8" s="11"/>
      <c r="T8" s="8"/>
      <c r="U8" s="11"/>
      <c r="V8" s="8"/>
      <c r="W8" s="8"/>
      <c r="X8" s="8"/>
      <c r="Y8" s="8"/>
      <c r="Z8" s="8"/>
      <c r="AA8" s="8"/>
      <c r="AB8" s="8"/>
      <c r="AC8" s="8"/>
      <c r="AD8" s="8"/>
    </row>
    <row r="9">
      <c r="A9" s="17" t="s">
        <v>31</v>
      </c>
      <c r="B9" s="16">
        <v>25417.0</v>
      </c>
      <c r="C9" s="16">
        <v>25373.0</v>
      </c>
      <c r="D9" s="16">
        <v>28788.0</v>
      </c>
      <c r="E9" s="16">
        <v>28103.0</v>
      </c>
      <c r="F9" s="16">
        <v>46494.0</v>
      </c>
      <c r="G9" s="16">
        <v>46272.0</v>
      </c>
      <c r="H9" s="2"/>
      <c r="I9" s="8"/>
      <c r="J9" s="8"/>
      <c r="K9" s="8"/>
      <c r="L9" s="8"/>
      <c r="M9" s="8"/>
      <c r="N9" s="8"/>
      <c r="O9" s="11"/>
      <c r="P9" s="11"/>
      <c r="Q9" s="11"/>
      <c r="R9" s="11"/>
      <c r="S9" s="11"/>
      <c r="T9" s="8"/>
      <c r="U9" s="11"/>
      <c r="V9" s="8"/>
      <c r="W9" s="8"/>
      <c r="X9" s="8"/>
      <c r="Y9" s="8"/>
      <c r="Z9" s="8"/>
      <c r="AA9" s="8"/>
      <c r="AB9" s="8"/>
      <c r="AC9" s="8"/>
      <c r="AD9" s="8"/>
    </row>
    <row r="10">
      <c r="A10" s="14" t="s">
        <v>32</v>
      </c>
      <c r="B10" s="15">
        <v>6482.0</v>
      </c>
      <c r="C10" s="15">
        <v>6113.0</v>
      </c>
      <c r="D10" s="19" t="s">
        <v>33</v>
      </c>
      <c r="E10" s="15">
        <v>5123.0</v>
      </c>
      <c r="F10" s="15">
        <v>9669.0</v>
      </c>
      <c r="G10" s="15">
        <v>9228.0</v>
      </c>
      <c r="H10" s="8"/>
      <c r="I10" s="8"/>
      <c r="J10" s="8"/>
      <c r="K10" s="8"/>
      <c r="L10" s="8"/>
      <c r="M10" s="8"/>
      <c r="N10" s="8"/>
      <c r="O10" s="11"/>
      <c r="P10" s="11"/>
      <c r="Q10" s="11"/>
      <c r="R10" s="11"/>
      <c r="S10" s="11"/>
      <c r="T10" s="8"/>
      <c r="U10" s="11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9" t="s">
        <v>11</v>
      </c>
      <c r="B11" s="16">
        <v>2228.0</v>
      </c>
      <c r="C11" s="16">
        <v>2089.0</v>
      </c>
      <c r="D11" s="16">
        <v>1462.0</v>
      </c>
      <c r="E11" s="16">
        <v>1353.0</v>
      </c>
      <c r="F11" s="16">
        <v>2960.0</v>
      </c>
      <c r="G11" s="16">
        <v>2891.0</v>
      </c>
      <c r="H11" s="8"/>
      <c r="I11" s="8"/>
      <c r="J11" s="8"/>
      <c r="K11" s="8"/>
      <c r="L11" s="8"/>
      <c r="M11" s="8"/>
      <c r="N11" s="8"/>
      <c r="O11" s="11"/>
      <c r="P11" s="11"/>
      <c r="Q11" s="11"/>
      <c r="R11" s="11"/>
      <c r="S11" s="11"/>
      <c r="T11" s="8"/>
      <c r="U11" s="11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5" t="s">
        <v>12</v>
      </c>
      <c r="B12" s="15">
        <v>4254.0</v>
      </c>
      <c r="C12" s="15">
        <v>4024.0</v>
      </c>
      <c r="D12" s="15">
        <v>4227.0</v>
      </c>
      <c r="E12" s="15">
        <v>3770.0</v>
      </c>
      <c r="F12" s="15">
        <v>6709.0</v>
      </c>
      <c r="G12" s="15">
        <v>6337.0</v>
      </c>
      <c r="H12" s="8"/>
      <c r="I12" s="8"/>
      <c r="J12" s="8"/>
      <c r="K12" s="8"/>
      <c r="L12" s="8"/>
      <c r="M12" s="8"/>
      <c r="N12" s="8"/>
      <c r="O12" s="11"/>
      <c r="P12" s="11"/>
      <c r="Q12" s="11"/>
      <c r="R12" s="11"/>
      <c r="S12" s="11"/>
      <c r="T12" s="8"/>
      <c r="U12" s="11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17" t="s">
        <v>34</v>
      </c>
      <c r="B13" s="16">
        <v>18935.0</v>
      </c>
      <c r="C13" s="16">
        <v>19260.0</v>
      </c>
      <c r="D13" s="16">
        <v>23099.0</v>
      </c>
      <c r="E13" s="16">
        <v>22980.0</v>
      </c>
      <c r="F13" s="16">
        <v>36825.0</v>
      </c>
      <c r="G13" s="16">
        <v>37044.0</v>
      </c>
      <c r="H13" s="11"/>
      <c r="I13" s="8"/>
      <c r="J13" s="8"/>
      <c r="K13" s="8"/>
      <c r="L13" s="8"/>
      <c r="M13" s="8"/>
      <c r="N13" s="8"/>
      <c r="O13" s="11"/>
      <c r="P13" s="11"/>
      <c r="Q13" s="11"/>
      <c r="R13" s="11"/>
      <c r="S13" s="11"/>
      <c r="T13" s="8"/>
      <c r="U13" s="11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5" t="s">
        <v>35</v>
      </c>
      <c r="B14" s="15">
        <v>12597.0</v>
      </c>
      <c r="C14" s="15">
        <v>12559.0</v>
      </c>
      <c r="D14" s="15">
        <v>14618.0</v>
      </c>
      <c r="E14" s="15">
        <v>14585.0</v>
      </c>
      <c r="F14" s="15">
        <v>23186.0</v>
      </c>
      <c r="G14" s="15">
        <v>23295.0</v>
      </c>
      <c r="H14" s="11"/>
      <c r="I14" s="8"/>
      <c r="J14" s="8"/>
      <c r="K14" s="8"/>
      <c r="L14" s="8"/>
      <c r="M14" s="8"/>
      <c r="N14" s="8"/>
      <c r="O14" s="11"/>
      <c r="P14" s="11"/>
      <c r="Q14" s="11"/>
      <c r="R14" s="11"/>
      <c r="S14" s="11"/>
      <c r="T14" s="8"/>
      <c r="U14" s="11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9" t="s">
        <v>13</v>
      </c>
      <c r="B15" s="16">
        <v>2911.0</v>
      </c>
      <c r="C15" s="16">
        <v>2981.0</v>
      </c>
      <c r="D15" s="16">
        <v>3055.0</v>
      </c>
      <c r="E15" s="16">
        <v>2908.0</v>
      </c>
      <c r="F15" s="16">
        <v>4902.0</v>
      </c>
      <c r="G15" s="16">
        <v>4901.0</v>
      </c>
      <c r="I15" s="8"/>
      <c r="J15" s="8"/>
      <c r="K15" s="8"/>
      <c r="L15" s="8"/>
      <c r="M15" s="8"/>
      <c r="N15" s="8"/>
      <c r="O15" s="11"/>
      <c r="P15" s="11"/>
      <c r="Q15" s="11"/>
      <c r="R15" s="11"/>
      <c r="S15" s="11"/>
      <c r="T15" s="8"/>
      <c r="U15" s="11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5" t="s">
        <v>14</v>
      </c>
      <c r="B16" s="15">
        <v>3263.0</v>
      </c>
      <c r="C16" s="15">
        <v>2994.0</v>
      </c>
      <c r="D16" s="15">
        <v>3649.0</v>
      </c>
      <c r="E16" s="15">
        <v>3646.0</v>
      </c>
      <c r="F16" s="15">
        <v>5666.0</v>
      </c>
      <c r="G16" s="15">
        <v>5621.0</v>
      </c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8"/>
      <c r="U16" s="11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9" t="s">
        <v>15</v>
      </c>
      <c r="B17" s="16">
        <v>2479.0</v>
      </c>
      <c r="C17" s="16">
        <v>2811.0</v>
      </c>
      <c r="D17" s="16">
        <v>3038.0</v>
      </c>
      <c r="E17" s="16">
        <v>3023.0</v>
      </c>
      <c r="F17" s="16">
        <v>4826.0</v>
      </c>
      <c r="G17" s="16">
        <v>5065.0</v>
      </c>
      <c r="I17" s="8"/>
      <c r="J17" s="8"/>
      <c r="K17" s="8"/>
      <c r="L17" s="8"/>
      <c r="M17" s="8"/>
      <c r="N17" s="8"/>
      <c r="O17" s="11"/>
      <c r="P17" s="11"/>
      <c r="Q17" s="11"/>
      <c r="R17" s="11"/>
      <c r="S17" s="11"/>
      <c r="T17" s="8"/>
      <c r="U17" s="11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5" t="s">
        <v>16</v>
      </c>
      <c r="B18" s="15">
        <v>2118.0</v>
      </c>
      <c r="C18" s="15">
        <v>1918.0</v>
      </c>
      <c r="D18" s="15">
        <v>2678.0</v>
      </c>
      <c r="E18" s="15">
        <v>2837.0</v>
      </c>
      <c r="F18" s="15">
        <v>4146.0</v>
      </c>
      <c r="G18" s="15">
        <v>4216.0</v>
      </c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8"/>
      <c r="U18" s="11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9" t="s">
        <v>17</v>
      </c>
      <c r="B19" s="16">
        <v>1826.0</v>
      </c>
      <c r="C19" s="16">
        <v>1855.0</v>
      </c>
      <c r="D19" s="16">
        <v>2199.0</v>
      </c>
      <c r="E19" s="16">
        <v>2171.0</v>
      </c>
      <c r="F19" s="16">
        <v>3645.0</v>
      </c>
      <c r="G19" s="16">
        <v>3493.0</v>
      </c>
      <c r="I19" s="8"/>
      <c r="J19" s="8"/>
      <c r="K19" s="8"/>
      <c r="L19" s="8"/>
      <c r="M19" s="8"/>
      <c r="N19" s="8"/>
      <c r="O19" s="11"/>
      <c r="P19" s="11"/>
      <c r="Q19" s="11"/>
      <c r="R19" s="11"/>
      <c r="S19" s="11"/>
      <c r="T19" s="8"/>
      <c r="U19" s="11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5" t="s">
        <v>36</v>
      </c>
      <c r="B20" s="15">
        <v>6338.0</v>
      </c>
      <c r="C20" s="15">
        <v>6701.0</v>
      </c>
      <c r="D20" s="15">
        <v>8481.0</v>
      </c>
      <c r="E20" s="15">
        <v>8395.0</v>
      </c>
      <c r="F20" s="15">
        <v>13639.0</v>
      </c>
      <c r="G20" s="15">
        <v>13748.0</v>
      </c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8"/>
      <c r="U20" s="11"/>
      <c r="V20" s="8"/>
      <c r="W20" s="8"/>
      <c r="X20" s="8"/>
      <c r="Y20" s="8"/>
      <c r="Z20" s="8"/>
      <c r="AA20" s="8"/>
      <c r="AB20" s="8"/>
      <c r="AC20" s="8"/>
      <c r="AD20" s="8"/>
    </row>
    <row r="21">
      <c r="A21" s="9" t="s">
        <v>18</v>
      </c>
      <c r="B21" s="16">
        <v>1584.0</v>
      </c>
      <c r="C21" s="16">
        <v>1547.0</v>
      </c>
      <c r="D21" s="16">
        <v>2485.0</v>
      </c>
      <c r="E21" s="16">
        <v>1934.0</v>
      </c>
      <c r="F21" s="16">
        <v>3616.0</v>
      </c>
      <c r="G21" s="16">
        <v>3089.0</v>
      </c>
      <c r="I21" s="8"/>
      <c r="J21" s="8"/>
      <c r="K21" s="8"/>
      <c r="L21" s="8"/>
      <c r="M21" s="8"/>
      <c r="N21" s="8"/>
      <c r="O21" s="11"/>
      <c r="P21" s="11"/>
      <c r="Q21" s="11"/>
      <c r="R21" s="11"/>
      <c r="S21" s="11"/>
      <c r="T21" s="8"/>
      <c r="U21" s="11"/>
      <c r="V21" s="8"/>
      <c r="W21" s="8"/>
      <c r="X21" s="8"/>
      <c r="Y21" s="8"/>
      <c r="Z21" s="8"/>
      <c r="AA21" s="8"/>
      <c r="AB21" s="8"/>
      <c r="AC21" s="8"/>
      <c r="AD21" s="8"/>
    </row>
    <row r="22">
      <c r="A22" s="5" t="s">
        <v>19</v>
      </c>
      <c r="B22" s="15">
        <v>1398.0</v>
      </c>
      <c r="C22" s="15">
        <v>1259.0</v>
      </c>
      <c r="D22" s="15">
        <v>1973.0</v>
      </c>
      <c r="E22" s="15">
        <v>1837.0</v>
      </c>
      <c r="F22" s="15">
        <v>3081.0</v>
      </c>
      <c r="G22" s="15">
        <v>2872.0</v>
      </c>
      <c r="I22" s="8"/>
      <c r="J22" s="8"/>
      <c r="K22" s="8"/>
      <c r="L22" s="8"/>
      <c r="M22" s="8"/>
      <c r="N22" s="8"/>
      <c r="O22" s="11"/>
      <c r="P22" s="11"/>
      <c r="Q22" s="11"/>
      <c r="R22" s="11"/>
      <c r="S22" s="11"/>
      <c r="T22" s="8"/>
      <c r="U22" s="11"/>
      <c r="V22" s="8"/>
      <c r="W22" s="8"/>
      <c r="X22" s="8"/>
      <c r="Y22" s="8"/>
      <c r="Z22" s="8"/>
      <c r="AA22" s="8"/>
      <c r="AB22" s="8"/>
      <c r="AC22" s="8"/>
      <c r="AD22" s="8"/>
    </row>
    <row r="23">
      <c r="A23" s="9" t="s">
        <v>20</v>
      </c>
      <c r="B23" s="16">
        <v>1523.0</v>
      </c>
      <c r="C23" s="16">
        <v>1661.0</v>
      </c>
      <c r="D23" s="16">
        <v>1679.0</v>
      </c>
      <c r="E23" s="16">
        <v>1942.0</v>
      </c>
      <c r="F23" s="16">
        <v>3013.0</v>
      </c>
      <c r="G23" s="16">
        <v>3176.0</v>
      </c>
      <c r="I23" s="8"/>
      <c r="J23" s="8"/>
      <c r="K23" s="8"/>
      <c r="L23" s="8"/>
      <c r="M23" s="8"/>
      <c r="N23" s="8"/>
      <c r="O23" s="11"/>
      <c r="P23" s="11"/>
      <c r="Q23" s="11"/>
      <c r="R23" s="11"/>
      <c r="S23" s="11"/>
      <c r="T23" s="8"/>
      <c r="U23" s="11"/>
      <c r="V23" s="8"/>
      <c r="W23" s="8"/>
      <c r="X23" s="8"/>
      <c r="Y23" s="8"/>
      <c r="Z23" s="8"/>
      <c r="AA23" s="8"/>
      <c r="AB23" s="8"/>
      <c r="AC23" s="8"/>
      <c r="AD23" s="8"/>
    </row>
    <row r="24">
      <c r="A24" s="5" t="s">
        <v>21</v>
      </c>
      <c r="B24" s="15">
        <v>1833.0</v>
      </c>
      <c r="C24" s="15">
        <v>2235.0</v>
      </c>
      <c r="D24" s="15">
        <v>2344.0</v>
      </c>
      <c r="E24" s="15">
        <v>2682.0</v>
      </c>
      <c r="F24" s="15">
        <v>3929.0</v>
      </c>
      <c r="G24" s="15">
        <v>4610.0</v>
      </c>
      <c r="I24" s="8"/>
      <c r="J24" s="8"/>
      <c r="K24" s="8"/>
      <c r="L24" s="8"/>
      <c r="M24" s="8"/>
      <c r="N24" s="8"/>
      <c r="O24" s="11"/>
      <c r="P24" s="11"/>
      <c r="Q24" s="11"/>
      <c r="R24" s="11"/>
      <c r="S24" s="11"/>
      <c r="T24" s="8"/>
      <c r="U24" s="11"/>
      <c r="V24" s="8"/>
      <c r="W24" s="8"/>
      <c r="X24" s="8"/>
      <c r="Y24" s="8"/>
      <c r="Z24" s="8"/>
      <c r="AA24" s="8"/>
      <c r="AB24" s="8"/>
      <c r="AC24" s="8"/>
      <c r="AD24" s="8"/>
    </row>
    <row r="25">
      <c r="F25" s="8"/>
      <c r="G25" s="8"/>
      <c r="H25" s="8"/>
      <c r="I25" s="8"/>
      <c r="J25" s="8"/>
      <c r="K25" s="8"/>
      <c r="L25" s="8"/>
      <c r="M25" s="8"/>
      <c r="N25" s="8"/>
      <c r="O25" s="11"/>
      <c r="P25" s="11"/>
      <c r="Q25" s="11"/>
      <c r="R25" s="11"/>
      <c r="S25" s="11"/>
      <c r="T25" s="8"/>
      <c r="U25" s="11"/>
      <c r="V25" s="8"/>
      <c r="W25" s="8"/>
      <c r="X25" s="8"/>
      <c r="Y25" s="8"/>
      <c r="Z25" s="8"/>
      <c r="AA25" s="8"/>
      <c r="AB25" s="8"/>
      <c r="AC25" s="8"/>
      <c r="AD25" s="8"/>
    </row>
    <row r="26">
      <c r="F26" s="8"/>
      <c r="G26" s="8"/>
      <c r="H26" s="8"/>
      <c r="I26" s="8"/>
      <c r="J26" s="8"/>
      <c r="K26" s="8"/>
      <c r="L26" s="8"/>
      <c r="M26" s="8"/>
      <c r="N26" s="8"/>
      <c r="O26" s="11"/>
      <c r="P26" s="11"/>
      <c r="Q26" s="11"/>
      <c r="R26" s="11"/>
      <c r="S26" s="11"/>
      <c r="T26" s="8"/>
      <c r="U26" s="11"/>
      <c r="V26" s="8"/>
      <c r="W26" s="8"/>
      <c r="X26" s="8"/>
      <c r="Y26" s="8"/>
      <c r="Z26" s="8"/>
      <c r="AA26" s="8"/>
      <c r="AB26" s="8"/>
      <c r="AC26" s="8"/>
      <c r="AD26" s="8"/>
    </row>
    <row r="27">
      <c r="F27" s="8"/>
      <c r="G27" s="8"/>
      <c r="H27" s="8"/>
      <c r="I27" s="8"/>
      <c r="J27" s="8"/>
      <c r="K27" s="8"/>
      <c r="L27" s="8"/>
      <c r="M27" s="8"/>
      <c r="N27" s="8"/>
      <c r="O27" s="11"/>
      <c r="P27" s="11"/>
      <c r="Q27" s="11"/>
      <c r="R27" s="11"/>
      <c r="S27" s="11"/>
      <c r="T27" s="8"/>
      <c r="U27" s="11"/>
      <c r="V27" s="8"/>
      <c r="W27" s="8"/>
      <c r="X27" s="8"/>
      <c r="Y27" s="8"/>
      <c r="Z27" s="8"/>
      <c r="AA27" s="8"/>
      <c r="AB27" s="8"/>
      <c r="AC27" s="8"/>
      <c r="AD27" s="8"/>
    </row>
    <row r="28">
      <c r="F28" s="8"/>
      <c r="G28" s="8"/>
      <c r="H28" s="8"/>
      <c r="I28" s="8"/>
      <c r="J28" s="8"/>
      <c r="K28" s="8"/>
      <c r="L28" s="8"/>
      <c r="M28" s="8"/>
      <c r="N28" s="8"/>
      <c r="O28" s="11"/>
      <c r="P28" s="11"/>
      <c r="Q28" s="11"/>
      <c r="R28" s="11"/>
      <c r="S28" s="11"/>
      <c r="T28" s="8"/>
      <c r="U28" s="11"/>
      <c r="V28" s="8"/>
      <c r="W28" s="8"/>
      <c r="X28" s="8"/>
      <c r="Y28" s="8"/>
      <c r="Z28" s="8"/>
      <c r="AA28" s="8"/>
      <c r="AB28" s="8"/>
      <c r="AC28" s="8"/>
      <c r="AD28" s="8"/>
    </row>
    <row r="29">
      <c r="F29" s="8"/>
      <c r="G29" s="8"/>
      <c r="H29" s="8"/>
      <c r="I29" s="8"/>
      <c r="J29" s="8"/>
      <c r="K29" s="8"/>
      <c r="L29" s="8"/>
      <c r="M29" s="8"/>
      <c r="N29" s="8"/>
      <c r="O29" s="11"/>
      <c r="P29" s="11"/>
      <c r="Q29" s="11"/>
      <c r="R29" s="11"/>
      <c r="S29" s="11"/>
      <c r="T29" s="8"/>
      <c r="U29" s="11"/>
      <c r="V29" s="8"/>
      <c r="W29" s="8"/>
      <c r="X29" s="8"/>
      <c r="Y29" s="8"/>
      <c r="Z29" s="8"/>
      <c r="AA29" s="8"/>
      <c r="AB29" s="8"/>
      <c r="AC29" s="8"/>
      <c r="AD29" s="8"/>
    </row>
    <row r="30">
      <c r="F30" s="8"/>
      <c r="G30" s="8"/>
      <c r="H30" s="8"/>
      <c r="I30" s="8"/>
      <c r="J30" s="8"/>
      <c r="K30" s="8"/>
      <c r="L30" s="8"/>
      <c r="M30" s="8"/>
      <c r="N30" s="8"/>
      <c r="O30" s="11"/>
      <c r="P30" s="11"/>
      <c r="Q30" s="11"/>
      <c r="R30" s="11"/>
      <c r="S30" s="11"/>
      <c r="T30" s="8"/>
      <c r="U30" s="11"/>
      <c r="V30" s="8"/>
      <c r="W30" s="8"/>
      <c r="X30" s="8"/>
      <c r="Y30" s="8"/>
      <c r="Z30" s="8"/>
      <c r="AA30" s="8"/>
      <c r="AB30" s="8"/>
      <c r="AC30" s="8"/>
      <c r="AD30" s="8"/>
    </row>
    <row r="31">
      <c r="F31" s="8"/>
      <c r="G31" s="8"/>
      <c r="H31" s="8"/>
      <c r="I31" s="8"/>
      <c r="J31" s="8"/>
      <c r="K31" s="8"/>
      <c r="L31" s="8"/>
      <c r="M31" s="8"/>
      <c r="N31" s="8"/>
      <c r="O31" s="11"/>
      <c r="P31" s="11"/>
      <c r="Q31" s="11"/>
      <c r="R31" s="11"/>
      <c r="S31" s="11"/>
      <c r="T31" s="8"/>
      <c r="U31" s="11"/>
      <c r="V31" s="8"/>
      <c r="W31" s="8"/>
      <c r="X31" s="8"/>
      <c r="Y31" s="8"/>
      <c r="Z31" s="8"/>
      <c r="AA31" s="8"/>
      <c r="AB31" s="8"/>
      <c r="AC31" s="8"/>
      <c r="AD31" s="8"/>
    </row>
    <row r="32">
      <c r="F32" s="8"/>
      <c r="G32" s="8"/>
      <c r="H32" s="8"/>
      <c r="I32" s="8"/>
      <c r="J32" s="8"/>
      <c r="K32" s="8"/>
      <c r="L32" s="8"/>
      <c r="M32" s="8"/>
      <c r="N32" s="8"/>
      <c r="O32" s="11"/>
      <c r="P32" s="11"/>
      <c r="Q32" s="11"/>
      <c r="R32" s="11"/>
      <c r="S32" s="11"/>
      <c r="T32" s="8"/>
      <c r="U32" s="11"/>
      <c r="V32" s="8"/>
      <c r="W32" s="8"/>
      <c r="X32" s="8"/>
      <c r="Y32" s="8"/>
      <c r="Z32" s="8"/>
      <c r="AA32" s="8"/>
      <c r="AB32" s="8"/>
      <c r="AC32" s="8"/>
      <c r="AD32" s="8"/>
    </row>
    <row r="33">
      <c r="F33" s="8"/>
      <c r="G33" s="8"/>
      <c r="H33" s="8"/>
      <c r="I33" s="8"/>
      <c r="J33" s="8"/>
      <c r="K33" s="8"/>
      <c r="L33" s="8"/>
      <c r="M33" s="8"/>
      <c r="N33" s="8"/>
      <c r="O33" s="11"/>
      <c r="P33" s="11"/>
      <c r="Q33" s="11"/>
      <c r="R33" s="11"/>
      <c r="S33" s="11"/>
      <c r="T33" s="8"/>
      <c r="U33" s="11"/>
      <c r="V33" s="8"/>
      <c r="W33" s="8"/>
      <c r="X33" s="8"/>
      <c r="Y33" s="8"/>
      <c r="Z33" s="8"/>
      <c r="AA33" s="8"/>
      <c r="AB33" s="8"/>
      <c r="AC33" s="8"/>
      <c r="AD33" s="8"/>
    </row>
    <row r="34">
      <c r="F34" s="8"/>
      <c r="H34" s="8"/>
      <c r="I34" s="8"/>
      <c r="J34" s="8"/>
      <c r="K34" s="8"/>
      <c r="L34" s="8"/>
      <c r="M34" s="8"/>
      <c r="N34" s="8"/>
      <c r="O34" s="11"/>
      <c r="P34" s="11"/>
      <c r="Q34" s="11"/>
      <c r="R34" s="11"/>
      <c r="S34" s="11"/>
      <c r="T34" s="8"/>
      <c r="U34" s="11"/>
      <c r="V34" s="8"/>
      <c r="W34" s="8"/>
      <c r="X34" s="8"/>
      <c r="Y34" s="8"/>
      <c r="Z34" s="8"/>
      <c r="AA34" s="8"/>
      <c r="AB34" s="8"/>
      <c r="AC34" s="8"/>
      <c r="AD34" s="8"/>
    </row>
    <row r="35">
      <c r="F35" s="8"/>
      <c r="G35" s="8"/>
      <c r="H35" s="8"/>
      <c r="I35" s="8"/>
      <c r="J35" s="8"/>
      <c r="K35" s="8"/>
      <c r="L35" s="8"/>
      <c r="M35" s="8"/>
      <c r="N35" s="8"/>
      <c r="O35" s="11"/>
      <c r="P35" s="11"/>
      <c r="Q35" s="11"/>
      <c r="R35" s="11"/>
      <c r="S35" s="11"/>
      <c r="T35" s="8"/>
      <c r="U35" s="11"/>
      <c r="V35" s="8"/>
      <c r="W35" s="8"/>
      <c r="X35" s="8"/>
      <c r="Y35" s="8"/>
      <c r="Z35" s="8"/>
      <c r="AA35" s="8"/>
      <c r="AB35" s="8"/>
      <c r="AC35" s="8"/>
      <c r="AD35" s="8"/>
    </row>
    <row r="36">
      <c r="F36" s="8"/>
      <c r="G36" s="8"/>
      <c r="H36" s="8"/>
      <c r="I36" s="8"/>
      <c r="J36" s="8"/>
      <c r="K36" s="8"/>
      <c r="L36" s="8"/>
      <c r="M36" s="8"/>
      <c r="N36" s="8"/>
      <c r="O36" s="11"/>
      <c r="P36" s="11"/>
      <c r="Q36" s="11"/>
      <c r="R36" s="11"/>
      <c r="S36" s="11"/>
      <c r="T36" s="8"/>
      <c r="U36" s="11"/>
      <c r="V36" s="8"/>
      <c r="W36" s="8"/>
      <c r="X36" s="8"/>
      <c r="Y36" s="8"/>
      <c r="Z36" s="8"/>
      <c r="AA36" s="8"/>
      <c r="AB36" s="8"/>
      <c r="AC36" s="8"/>
      <c r="AD36" s="8"/>
    </row>
    <row r="37">
      <c r="F37" s="8"/>
      <c r="G37" s="8"/>
      <c r="H37" s="8"/>
      <c r="I37" s="8"/>
      <c r="J37" s="8"/>
      <c r="K37" s="8"/>
      <c r="L37" s="8"/>
      <c r="M37" s="8"/>
      <c r="N37" s="8"/>
      <c r="O37" s="11"/>
      <c r="P37" s="11"/>
      <c r="Q37" s="11"/>
      <c r="R37" s="11"/>
      <c r="S37" s="11"/>
      <c r="T37" s="8"/>
      <c r="U37" s="11"/>
      <c r="V37" s="8"/>
      <c r="W37" s="8"/>
      <c r="X37" s="8"/>
      <c r="Y37" s="8"/>
      <c r="Z37" s="8"/>
      <c r="AA37" s="8"/>
      <c r="AB37" s="8"/>
      <c r="AC37" s="8"/>
      <c r="AD37" s="8"/>
    </row>
    <row r="38">
      <c r="F38" s="8"/>
      <c r="G38" s="8"/>
      <c r="H38" s="8"/>
      <c r="I38" s="8"/>
      <c r="J38" s="8"/>
      <c r="K38" s="8"/>
      <c r="L38" s="8"/>
      <c r="M38" s="8"/>
      <c r="N38" s="8"/>
      <c r="O38" s="11"/>
      <c r="P38" s="11"/>
      <c r="Q38" s="11"/>
      <c r="R38" s="11"/>
      <c r="S38" s="11"/>
      <c r="T38" s="8"/>
      <c r="U38" s="11"/>
      <c r="V38" s="8"/>
      <c r="W38" s="8"/>
      <c r="X38" s="8"/>
      <c r="Y38" s="8"/>
      <c r="Z38" s="8"/>
      <c r="AA38" s="8"/>
      <c r="AB38" s="8"/>
      <c r="AC38" s="8"/>
      <c r="AD38" s="8"/>
    </row>
    <row r="39">
      <c r="F39" s="8"/>
      <c r="G39" s="8"/>
      <c r="H39" s="8"/>
      <c r="I39" s="8"/>
      <c r="J39" s="8"/>
      <c r="K39" s="8"/>
      <c r="L39" s="8"/>
      <c r="M39" s="8"/>
      <c r="N39" s="8"/>
      <c r="O39" s="11"/>
      <c r="P39" s="11"/>
      <c r="Q39" s="11"/>
      <c r="R39" s="11"/>
      <c r="S39" s="11"/>
      <c r="T39" s="8"/>
      <c r="U39" s="11"/>
      <c r="V39" s="8"/>
      <c r="W39" s="8"/>
      <c r="X39" s="8"/>
      <c r="Y39" s="8"/>
      <c r="Z39" s="8"/>
      <c r="AA39" s="8"/>
      <c r="AB39" s="8"/>
      <c r="AC39" s="8"/>
      <c r="AD39" s="8"/>
    </row>
    <row r="40">
      <c r="F40" s="8"/>
      <c r="G40" s="8"/>
      <c r="H40" s="8"/>
      <c r="I40" s="8"/>
      <c r="J40" s="8"/>
      <c r="K40" s="8"/>
      <c r="L40" s="8"/>
      <c r="M40" s="8"/>
      <c r="N40" s="8"/>
      <c r="O40" s="11"/>
      <c r="P40" s="11"/>
      <c r="Q40" s="11"/>
      <c r="R40" s="11"/>
      <c r="S40" s="11"/>
      <c r="T40" s="8"/>
      <c r="U40" s="11"/>
      <c r="V40" s="8"/>
      <c r="W40" s="8"/>
      <c r="X40" s="8"/>
      <c r="Y40" s="8"/>
      <c r="Z40" s="8"/>
      <c r="AA40" s="8"/>
      <c r="AB40" s="8"/>
      <c r="AC40" s="8"/>
      <c r="AD40" s="8"/>
    </row>
    <row r="41">
      <c r="F41" s="8"/>
      <c r="G41" s="8"/>
      <c r="H41" s="8"/>
      <c r="I41" s="8"/>
      <c r="J41" s="8"/>
      <c r="K41" s="8"/>
      <c r="L41" s="8"/>
      <c r="M41" s="8"/>
      <c r="N41" s="8"/>
      <c r="O41" s="11"/>
      <c r="P41" s="11"/>
      <c r="Q41" s="11"/>
      <c r="R41" s="11"/>
      <c r="S41" s="11"/>
      <c r="T41" s="8"/>
      <c r="U41" s="11"/>
      <c r="V41" s="8"/>
      <c r="W41" s="8"/>
      <c r="X41" s="8"/>
      <c r="Y41" s="8"/>
      <c r="Z41" s="8"/>
      <c r="AA41" s="8"/>
      <c r="AB41" s="8"/>
      <c r="AC41" s="8"/>
      <c r="AD41" s="8"/>
    </row>
    <row r="42">
      <c r="F42" s="8"/>
      <c r="G42" s="8"/>
      <c r="H42" s="8"/>
      <c r="I42" s="8"/>
      <c r="J42" s="8"/>
      <c r="K42" s="8"/>
      <c r="L42" s="8"/>
      <c r="M42" s="8"/>
      <c r="N42" s="8"/>
      <c r="O42" s="11"/>
      <c r="P42" s="11"/>
      <c r="Q42" s="11"/>
      <c r="R42" s="11"/>
      <c r="S42" s="11"/>
      <c r="T42" s="8"/>
      <c r="U42" s="11"/>
      <c r="V42" s="8"/>
      <c r="W42" s="8"/>
      <c r="X42" s="8"/>
      <c r="Y42" s="8"/>
      <c r="Z42" s="8"/>
      <c r="AA42" s="8"/>
      <c r="AB42" s="8"/>
      <c r="AC42" s="8"/>
      <c r="AD42" s="8"/>
    </row>
    <row r="43">
      <c r="F43" s="8"/>
      <c r="G43" s="8"/>
      <c r="H43" s="8"/>
      <c r="I43" s="8"/>
      <c r="J43" s="8"/>
      <c r="K43" s="8"/>
      <c r="L43" s="8"/>
      <c r="M43" s="8"/>
      <c r="N43" s="8"/>
      <c r="O43" s="11"/>
      <c r="P43" s="11"/>
      <c r="Q43" s="11"/>
      <c r="R43" s="11"/>
      <c r="S43" s="11"/>
      <c r="T43" s="8"/>
      <c r="U43" s="11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1"/>
      <c r="B44" s="8"/>
      <c r="C44" s="8"/>
      <c r="D44" s="11"/>
      <c r="E44" s="8"/>
      <c r="F44" s="8"/>
      <c r="G44" s="8"/>
      <c r="H44" s="8"/>
      <c r="I44" s="8"/>
      <c r="J44" s="8"/>
      <c r="K44" s="8"/>
      <c r="L44" s="8"/>
      <c r="M44" s="8"/>
      <c r="N44" s="8"/>
      <c r="O44" s="11"/>
      <c r="P44" s="11"/>
      <c r="Q44" s="11"/>
      <c r="R44" s="11"/>
      <c r="S44" s="11"/>
      <c r="T44" s="8"/>
      <c r="U44" s="11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1"/>
      <c r="B45" s="8"/>
      <c r="C45" s="8"/>
      <c r="D45" s="11"/>
      <c r="E45" s="8"/>
      <c r="F45" s="8"/>
      <c r="G45" s="8"/>
      <c r="H45" s="8"/>
      <c r="I45" s="8"/>
      <c r="J45" s="8"/>
      <c r="K45" s="8"/>
      <c r="L45" s="8"/>
      <c r="M45" s="8"/>
      <c r="N45" s="8"/>
      <c r="O45" s="11"/>
      <c r="P45" s="11"/>
      <c r="Q45" s="11"/>
      <c r="R45" s="11"/>
      <c r="S45" s="11"/>
      <c r="T45" s="8"/>
      <c r="U45" s="11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1"/>
      <c r="B46" s="8"/>
      <c r="C46" s="8"/>
      <c r="D46" s="11"/>
      <c r="E46" s="8"/>
      <c r="F46" s="8"/>
      <c r="G46" s="8"/>
      <c r="H46" s="8"/>
      <c r="I46" s="8"/>
      <c r="J46" s="8"/>
      <c r="K46" s="8"/>
      <c r="L46" s="8"/>
      <c r="M46" s="8"/>
      <c r="N46" s="8"/>
      <c r="O46" s="11"/>
      <c r="P46" s="11"/>
      <c r="Q46" s="11"/>
      <c r="R46" s="11"/>
      <c r="S46" s="11"/>
      <c r="T46" s="8"/>
      <c r="U46" s="11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1"/>
      <c r="B47" s="8"/>
      <c r="C47" s="8"/>
      <c r="D47" s="11"/>
      <c r="E47" s="8"/>
      <c r="F47" s="8"/>
      <c r="G47" s="8"/>
      <c r="H47" s="8"/>
      <c r="I47" s="8"/>
      <c r="J47" s="8"/>
      <c r="K47" s="8"/>
      <c r="L47" s="8"/>
      <c r="M47" s="8"/>
      <c r="N47" s="8"/>
      <c r="O47" s="11"/>
      <c r="P47" s="11"/>
      <c r="Q47" s="11"/>
      <c r="R47" s="11"/>
      <c r="S47" s="11"/>
      <c r="T47" s="8"/>
      <c r="U47" s="11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1"/>
      <c r="B48" s="8"/>
      <c r="C48" s="8"/>
      <c r="D48" s="11"/>
      <c r="E48" s="8"/>
      <c r="F48" s="8"/>
      <c r="G48" s="8"/>
      <c r="H48" s="8"/>
      <c r="I48" s="8"/>
      <c r="J48" s="8"/>
      <c r="K48" s="8"/>
      <c r="L48" s="8"/>
      <c r="M48" s="8"/>
      <c r="N48" s="8"/>
      <c r="O48" s="11"/>
      <c r="P48" s="11"/>
      <c r="Q48" s="11"/>
      <c r="R48" s="11"/>
      <c r="S48" s="11"/>
      <c r="T48" s="8"/>
      <c r="U48" s="11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1"/>
      <c r="B49" s="8"/>
      <c r="C49" s="8"/>
      <c r="D49" s="11"/>
      <c r="E49" s="8"/>
      <c r="F49" s="8"/>
      <c r="G49" s="8"/>
      <c r="H49" s="8"/>
      <c r="I49" s="8"/>
      <c r="J49" s="8"/>
      <c r="K49" s="8"/>
      <c r="L49" s="8"/>
      <c r="M49" s="8"/>
      <c r="N49" s="8"/>
      <c r="O49" s="11"/>
      <c r="P49" s="11"/>
      <c r="Q49" s="11"/>
      <c r="R49" s="11"/>
      <c r="S49" s="11"/>
      <c r="T49" s="8"/>
      <c r="U49" s="11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1"/>
      <c r="B50" s="8"/>
      <c r="C50" s="8"/>
      <c r="D50" s="11"/>
      <c r="E50" s="8"/>
      <c r="F50" s="8"/>
      <c r="G50" s="8"/>
      <c r="H50" s="8"/>
      <c r="I50" s="8"/>
      <c r="J50" s="8"/>
      <c r="K50" s="8"/>
      <c r="L50" s="8"/>
      <c r="M50" s="8"/>
      <c r="N50" s="8"/>
      <c r="O50" s="11"/>
      <c r="P50" s="11"/>
      <c r="Q50" s="11"/>
      <c r="R50" s="11"/>
      <c r="S50" s="11"/>
      <c r="T50" s="8"/>
      <c r="U50" s="11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1"/>
      <c r="B51" s="8"/>
      <c r="C51" s="8"/>
      <c r="D51" s="11"/>
      <c r="E51" s="8"/>
      <c r="F51" s="8"/>
      <c r="G51" s="8"/>
      <c r="H51" s="8"/>
      <c r="I51" s="8"/>
      <c r="J51" s="8"/>
      <c r="K51" s="8"/>
      <c r="L51" s="8"/>
      <c r="M51" s="8"/>
      <c r="N51" s="8"/>
      <c r="O51" s="11"/>
      <c r="P51" s="11"/>
      <c r="Q51" s="11"/>
      <c r="R51" s="11"/>
      <c r="S51" s="11"/>
      <c r="T51" s="8"/>
      <c r="U51" s="11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1"/>
      <c r="B52" s="8"/>
      <c r="C52" s="8"/>
      <c r="D52" s="11"/>
      <c r="E52" s="8"/>
      <c r="F52" s="8"/>
      <c r="G52" s="8"/>
      <c r="H52" s="8"/>
      <c r="I52" s="8"/>
      <c r="J52" s="8"/>
      <c r="K52" s="8"/>
      <c r="L52" s="8"/>
      <c r="M52" s="8"/>
      <c r="N52" s="8"/>
      <c r="O52" s="11"/>
      <c r="P52" s="11"/>
      <c r="Q52" s="11"/>
      <c r="R52" s="11"/>
      <c r="S52" s="11"/>
      <c r="T52" s="8"/>
      <c r="U52" s="11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1"/>
      <c r="B53" s="8"/>
      <c r="C53" s="8"/>
      <c r="D53" s="11"/>
      <c r="E53" s="8"/>
      <c r="F53" s="8"/>
      <c r="G53" s="8"/>
      <c r="H53" s="8"/>
      <c r="I53" s="8"/>
      <c r="J53" s="8"/>
      <c r="K53" s="8"/>
      <c r="L53" s="8"/>
      <c r="M53" s="8"/>
      <c r="N53" s="8"/>
      <c r="O53" s="11"/>
      <c r="P53" s="11"/>
      <c r="Q53" s="11"/>
      <c r="R53" s="11"/>
      <c r="S53" s="11"/>
      <c r="T53" s="8"/>
      <c r="U53" s="11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1"/>
      <c r="B54" s="8"/>
      <c r="C54" s="8"/>
      <c r="D54" s="11"/>
      <c r="E54" s="8"/>
      <c r="F54" s="8"/>
      <c r="G54" s="8"/>
      <c r="H54" s="8"/>
      <c r="I54" s="8"/>
      <c r="J54" s="8"/>
      <c r="K54" s="8"/>
      <c r="L54" s="8"/>
      <c r="M54" s="8"/>
      <c r="N54" s="8"/>
      <c r="O54" s="11"/>
      <c r="P54" s="11"/>
      <c r="Q54" s="11"/>
      <c r="R54" s="11"/>
      <c r="S54" s="11"/>
      <c r="T54" s="8"/>
      <c r="U54" s="11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1"/>
      <c r="B55" s="8"/>
      <c r="C55" s="8"/>
      <c r="D55" s="11"/>
      <c r="E55" s="8"/>
      <c r="F55" s="8"/>
      <c r="G55" s="8"/>
      <c r="H55" s="8"/>
      <c r="I55" s="8"/>
      <c r="J55" s="8"/>
      <c r="K55" s="8"/>
      <c r="L55" s="8"/>
      <c r="M55" s="8"/>
      <c r="N55" s="8"/>
      <c r="O55" s="11"/>
      <c r="P55" s="11"/>
      <c r="Q55" s="11"/>
      <c r="R55" s="11"/>
      <c r="S55" s="11"/>
      <c r="T55" s="8"/>
      <c r="U55" s="11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1"/>
      <c r="B56" s="8"/>
      <c r="C56" s="8"/>
      <c r="D56" s="11"/>
      <c r="E56" s="8"/>
      <c r="F56" s="8"/>
      <c r="G56" s="8"/>
      <c r="H56" s="8"/>
      <c r="I56" s="8"/>
      <c r="J56" s="8"/>
      <c r="K56" s="8"/>
      <c r="L56" s="8"/>
      <c r="M56" s="8"/>
      <c r="N56" s="8"/>
      <c r="O56" s="11"/>
      <c r="P56" s="11"/>
      <c r="Q56" s="11"/>
      <c r="R56" s="11"/>
      <c r="S56" s="11"/>
      <c r="T56" s="8"/>
      <c r="U56" s="11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1"/>
      <c r="B57" s="8"/>
      <c r="C57" s="8"/>
      <c r="D57" s="11"/>
      <c r="E57" s="8"/>
      <c r="F57" s="8"/>
      <c r="G57" s="8"/>
      <c r="H57" s="8"/>
      <c r="I57" s="8"/>
      <c r="J57" s="8"/>
      <c r="K57" s="8"/>
      <c r="L57" s="8"/>
      <c r="M57" s="8"/>
      <c r="N57" s="8"/>
      <c r="O57" s="11"/>
      <c r="P57" s="11"/>
      <c r="Q57" s="11"/>
      <c r="R57" s="11"/>
      <c r="S57" s="11"/>
      <c r="T57" s="8"/>
      <c r="U57" s="11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1"/>
      <c r="B58" s="8"/>
      <c r="C58" s="8"/>
      <c r="D58" s="11"/>
      <c r="E58" s="8"/>
      <c r="F58" s="8"/>
      <c r="G58" s="8"/>
      <c r="H58" s="8"/>
      <c r="I58" s="8"/>
      <c r="J58" s="8"/>
      <c r="K58" s="8"/>
      <c r="L58" s="8"/>
      <c r="M58" s="8"/>
      <c r="N58" s="8"/>
      <c r="O58" s="11"/>
      <c r="P58" s="11"/>
      <c r="Q58" s="11"/>
      <c r="R58" s="11"/>
      <c r="S58" s="11"/>
      <c r="T58" s="8"/>
      <c r="U58" s="11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1"/>
      <c r="B59" s="8"/>
      <c r="C59" s="8"/>
      <c r="D59" s="11"/>
      <c r="E59" s="8"/>
      <c r="F59" s="8"/>
      <c r="G59" s="8"/>
      <c r="H59" s="8"/>
      <c r="I59" s="8"/>
      <c r="J59" s="8"/>
      <c r="K59" s="8"/>
      <c r="L59" s="8"/>
      <c r="M59" s="8"/>
      <c r="N59" s="8"/>
      <c r="O59" s="11"/>
      <c r="P59" s="11"/>
      <c r="Q59" s="11"/>
      <c r="R59" s="11"/>
      <c r="S59" s="11"/>
      <c r="T59" s="8"/>
      <c r="U59" s="11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1"/>
      <c r="B60" s="8"/>
      <c r="C60" s="8"/>
      <c r="D60" s="11"/>
      <c r="E60" s="8"/>
      <c r="F60" s="8"/>
      <c r="G60" s="8"/>
      <c r="H60" s="8"/>
      <c r="I60" s="8"/>
      <c r="J60" s="8"/>
      <c r="K60" s="8"/>
      <c r="L60" s="8"/>
      <c r="M60" s="8"/>
      <c r="N60" s="8"/>
      <c r="O60" s="11"/>
      <c r="P60" s="11"/>
      <c r="Q60" s="11"/>
      <c r="R60" s="11"/>
      <c r="S60" s="11"/>
      <c r="T60" s="8"/>
      <c r="U60" s="11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1"/>
      <c r="B61" s="8"/>
      <c r="C61" s="8"/>
      <c r="D61" s="11"/>
      <c r="E61" s="8"/>
      <c r="F61" s="8"/>
      <c r="G61" s="8"/>
      <c r="H61" s="8"/>
      <c r="I61" s="8"/>
      <c r="J61" s="8"/>
      <c r="K61" s="8"/>
      <c r="L61" s="8"/>
      <c r="M61" s="8"/>
      <c r="N61" s="8"/>
      <c r="O61" s="11"/>
      <c r="P61" s="11"/>
      <c r="Q61" s="11"/>
      <c r="R61" s="11"/>
      <c r="S61" s="11"/>
      <c r="T61" s="8"/>
      <c r="U61" s="11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1"/>
      <c r="B62" s="8"/>
      <c r="C62" s="8"/>
      <c r="D62" s="11"/>
      <c r="E62" s="8"/>
      <c r="F62" s="8"/>
      <c r="G62" s="8"/>
      <c r="H62" s="8"/>
      <c r="I62" s="8"/>
      <c r="J62" s="8"/>
      <c r="K62" s="8"/>
      <c r="L62" s="8"/>
      <c r="M62" s="8"/>
      <c r="N62" s="8"/>
      <c r="O62" s="11"/>
      <c r="P62" s="11"/>
      <c r="Q62" s="11"/>
      <c r="R62" s="11"/>
      <c r="S62" s="11"/>
      <c r="T62" s="8"/>
      <c r="U62" s="11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1"/>
      <c r="B63" s="8"/>
      <c r="C63" s="8"/>
      <c r="D63" s="11"/>
      <c r="E63" s="8"/>
      <c r="F63" s="8"/>
      <c r="G63" s="8"/>
      <c r="H63" s="8"/>
      <c r="I63" s="8"/>
      <c r="J63" s="8"/>
      <c r="K63" s="8"/>
      <c r="L63" s="8"/>
      <c r="M63" s="8"/>
      <c r="N63" s="8"/>
      <c r="O63" s="11"/>
      <c r="P63" s="11"/>
      <c r="Q63" s="11"/>
      <c r="R63" s="11"/>
      <c r="S63" s="11"/>
      <c r="T63" s="8"/>
      <c r="U63" s="11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1"/>
      <c r="B64" s="8"/>
      <c r="C64" s="8"/>
      <c r="D64" s="11"/>
      <c r="E64" s="8"/>
      <c r="F64" s="8"/>
      <c r="G64" s="8"/>
      <c r="H64" s="8"/>
      <c r="I64" s="8"/>
      <c r="J64" s="8"/>
      <c r="K64" s="8"/>
      <c r="L64" s="8"/>
      <c r="M64" s="8"/>
      <c r="N64" s="8"/>
      <c r="O64" s="11"/>
      <c r="P64" s="11"/>
      <c r="Q64" s="11"/>
      <c r="R64" s="11"/>
      <c r="S64" s="11"/>
      <c r="T64" s="8"/>
      <c r="U64" s="11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1"/>
      <c r="B65" s="8"/>
      <c r="C65" s="8"/>
      <c r="D65" s="11"/>
      <c r="E65" s="8"/>
      <c r="F65" s="8"/>
      <c r="G65" s="8"/>
      <c r="H65" s="8"/>
      <c r="I65" s="8"/>
      <c r="J65" s="8"/>
      <c r="K65" s="8"/>
      <c r="L65" s="8"/>
      <c r="M65" s="8"/>
      <c r="N65" s="8"/>
      <c r="O65" s="11"/>
      <c r="P65" s="11"/>
      <c r="Q65" s="11"/>
      <c r="R65" s="11"/>
      <c r="S65" s="11"/>
      <c r="T65" s="8"/>
      <c r="U65" s="11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1"/>
      <c r="B66" s="8"/>
      <c r="C66" s="8"/>
      <c r="D66" s="11"/>
      <c r="E66" s="8"/>
      <c r="F66" s="8"/>
      <c r="G66" s="8"/>
      <c r="H66" s="8"/>
      <c r="I66" s="8"/>
      <c r="J66" s="8"/>
      <c r="K66" s="8"/>
      <c r="L66" s="8"/>
      <c r="M66" s="8"/>
      <c r="N66" s="8"/>
      <c r="O66" s="11"/>
      <c r="P66" s="11"/>
      <c r="Q66" s="11"/>
      <c r="R66" s="11"/>
      <c r="S66" s="11"/>
      <c r="T66" s="8"/>
      <c r="U66" s="11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1"/>
      <c r="B67" s="8"/>
      <c r="C67" s="8"/>
      <c r="D67" s="11"/>
      <c r="E67" s="8"/>
      <c r="F67" s="8"/>
      <c r="G67" s="8"/>
      <c r="H67" s="8"/>
      <c r="I67" s="8"/>
      <c r="J67" s="8"/>
      <c r="K67" s="8"/>
      <c r="L67" s="8"/>
      <c r="M67" s="8"/>
      <c r="N67" s="8"/>
      <c r="O67" s="11"/>
      <c r="P67" s="11"/>
      <c r="Q67" s="11"/>
      <c r="R67" s="11"/>
      <c r="S67" s="11"/>
      <c r="T67" s="8"/>
      <c r="U67" s="11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1"/>
      <c r="B68" s="8"/>
      <c r="C68" s="8"/>
      <c r="D68" s="11"/>
      <c r="E68" s="8"/>
      <c r="F68" s="8"/>
      <c r="G68" s="8"/>
      <c r="H68" s="8"/>
      <c r="I68" s="8"/>
      <c r="J68" s="8"/>
      <c r="K68" s="8"/>
      <c r="L68" s="8"/>
      <c r="M68" s="8"/>
      <c r="N68" s="8"/>
      <c r="O68" s="11"/>
      <c r="P68" s="11"/>
      <c r="Q68" s="11"/>
      <c r="R68" s="11"/>
      <c r="S68" s="11"/>
      <c r="T68" s="8"/>
      <c r="U68" s="11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1"/>
      <c r="B69" s="8"/>
      <c r="C69" s="8"/>
      <c r="D69" s="11"/>
      <c r="E69" s="8"/>
      <c r="F69" s="8"/>
      <c r="G69" s="8"/>
      <c r="H69" s="8"/>
      <c r="I69" s="8"/>
      <c r="J69" s="8"/>
      <c r="K69" s="8"/>
      <c r="L69" s="8"/>
      <c r="M69" s="8"/>
      <c r="N69" s="8"/>
      <c r="O69" s="11"/>
      <c r="P69" s="11"/>
      <c r="Q69" s="11"/>
      <c r="R69" s="11"/>
      <c r="S69" s="11"/>
      <c r="T69" s="8"/>
      <c r="U69" s="11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1"/>
      <c r="B70" s="8"/>
      <c r="C70" s="8"/>
      <c r="D70" s="11"/>
      <c r="E70" s="8"/>
      <c r="F70" s="8"/>
      <c r="G70" s="8"/>
      <c r="H70" s="8"/>
      <c r="I70" s="8"/>
      <c r="J70" s="8"/>
      <c r="K70" s="8"/>
      <c r="L70" s="8"/>
      <c r="M70" s="8"/>
      <c r="N70" s="8"/>
      <c r="O70" s="11"/>
      <c r="P70" s="11"/>
      <c r="Q70" s="11"/>
      <c r="R70" s="11"/>
      <c r="S70" s="11"/>
      <c r="T70" s="8"/>
      <c r="U70" s="11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1"/>
      <c r="B71" s="8"/>
      <c r="C71" s="8"/>
      <c r="D71" s="11"/>
      <c r="E71" s="8"/>
      <c r="F71" s="8"/>
      <c r="G71" s="8"/>
      <c r="H71" s="8"/>
      <c r="I71" s="8"/>
      <c r="J71" s="8"/>
      <c r="K71" s="8"/>
      <c r="L71" s="8"/>
      <c r="M71" s="8"/>
      <c r="N71" s="8"/>
      <c r="O71" s="11"/>
      <c r="P71" s="11"/>
      <c r="Q71" s="11"/>
      <c r="R71" s="11"/>
      <c r="S71" s="11"/>
      <c r="T71" s="8"/>
      <c r="U71" s="11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1"/>
      <c r="B72" s="8"/>
      <c r="C72" s="8"/>
      <c r="D72" s="11"/>
      <c r="E72" s="8"/>
      <c r="F72" s="8"/>
      <c r="G72" s="8"/>
      <c r="H72" s="8"/>
      <c r="I72" s="8"/>
      <c r="J72" s="8"/>
      <c r="K72" s="8"/>
      <c r="L72" s="8"/>
      <c r="M72" s="8"/>
      <c r="N72" s="8"/>
      <c r="O72" s="11"/>
      <c r="P72" s="11"/>
      <c r="Q72" s="11"/>
      <c r="R72" s="11"/>
      <c r="S72" s="11"/>
      <c r="T72" s="8"/>
      <c r="U72" s="11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1"/>
      <c r="B73" s="8"/>
      <c r="C73" s="8"/>
      <c r="D73" s="11"/>
      <c r="E73" s="8"/>
      <c r="F73" s="8"/>
      <c r="G73" s="8"/>
      <c r="H73" s="8"/>
      <c r="I73" s="8"/>
      <c r="J73" s="8"/>
      <c r="K73" s="8"/>
      <c r="L73" s="8"/>
      <c r="M73" s="8"/>
      <c r="N73" s="8"/>
      <c r="O73" s="11"/>
      <c r="P73" s="11"/>
      <c r="Q73" s="11"/>
      <c r="R73" s="11"/>
      <c r="S73" s="11"/>
      <c r="T73" s="8"/>
      <c r="U73" s="11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1"/>
      <c r="B74" s="8"/>
      <c r="C74" s="8"/>
      <c r="D74" s="11"/>
      <c r="E74" s="8"/>
      <c r="F74" s="8"/>
      <c r="G74" s="8"/>
      <c r="H74" s="8"/>
      <c r="I74" s="8"/>
      <c r="J74" s="8"/>
      <c r="K74" s="8"/>
      <c r="L74" s="8"/>
      <c r="M74" s="8"/>
      <c r="N74" s="8"/>
      <c r="O74" s="11"/>
      <c r="P74" s="11"/>
      <c r="Q74" s="11"/>
      <c r="R74" s="11"/>
      <c r="S74" s="11"/>
      <c r="T74" s="8"/>
      <c r="U74" s="11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1"/>
      <c r="B75" s="8"/>
      <c r="C75" s="8"/>
      <c r="D75" s="11"/>
      <c r="E75" s="8"/>
      <c r="F75" s="8"/>
      <c r="G75" s="8"/>
      <c r="H75" s="8"/>
      <c r="I75" s="8"/>
      <c r="J75" s="8"/>
      <c r="K75" s="8"/>
      <c r="L75" s="8"/>
      <c r="M75" s="8"/>
      <c r="N75" s="8"/>
      <c r="O75" s="11"/>
      <c r="P75" s="11"/>
      <c r="Q75" s="11"/>
      <c r="R75" s="11"/>
      <c r="S75" s="11"/>
      <c r="T75" s="8"/>
      <c r="U75" s="11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1"/>
      <c r="B76" s="8"/>
      <c r="C76" s="8"/>
      <c r="D76" s="11"/>
      <c r="E76" s="8"/>
      <c r="F76" s="8"/>
      <c r="G76" s="8"/>
      <c r="H76" s="8"/>
      <c r="I76" s="8"/>
      <c r="J76" s="8"/>
      <c r="K76" s="8"/>
      <c r="L76" s="8"/>
      <c r="M76" s="8"/>
      <c r="N76" s="8"/>
      <c r="O76" s="11"/>
      <c r="P76" s="11"/>
      <c r="Q76" s="11"/>
      <c r="R76" s="11"/>
      <c r="S76" s="11"/>
      <c r="T76" s="8"/>
      <c r="U76" s="11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1"/>
      <c r="B77" s="8"/>
      <c r="C77" s="8"/>
      <c r="D77" s="11"/>
      <c r="E77" s="8"/>
      <c r="F77" s="8"/>
      <c r="G77" s="8"/>
      <c r="H77" s="8"/>
      <c r="I77" s="8"/>
      <c r="J77" s="8"/>
      <c r="K77" s="8"/>
      <c r="L77" s="8"/>
      <c r="M77" s="8"/>
      <c r="N77" s="8"/>
      <c r="O77" s="11"/>
      <c r="P77" s="11"/>
      <c r="Q77" s="11"/>
      <c r="R77" s="11"/>
      <c r="S77" s="11"/>
      <c r="T77" s="8"/>
      <c r="U77" s="11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1"/>
      <c r="B78" s="8"/>
      <c r="C78" s="8"/>
      <c r="D78" s="11"/>
      <c r="E78" s="8"/>
      <c r="F78" s="8"/>
      <c r="G78" s="8"/>
      <c r="H78" s="8"/>
      <c r="I78" s="8"/>
      <c r="J78" s="8"/>
      <c r="K78" s="8"/>
      <c r="L78" s="8"/>
      <c r="M78" s="8"/>
      <c r="N78" s="8"/>
      <c r="O78" s="11"/>
      <c r="P78" s="11"/>
      <c r="Q78" s="11"/>
      <c r="R78" s="11"/>
      <c r="S78" s="11"/>
      <c r="T78" s="8"/>
      <c r="U78" s="11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1"/>
      <c r="B79" s="8"/>
      <c r="C79" s="8"/>
      <c r="D79" s="11"/>
      <c r="E79" s="8"/>
      <c r="F79" s="8"/>
      <c r="G79" s="8"/>
      <c r="H79" s="8"/>
      <c r="I79" s="8"/>
      <c r="J79" s="8"/>
      <c r="K79" s="8"/>
      <c r="L79" s="8"/>
      <c r="M79" s="8"/>
      <c r="N79" s="8"/>
      <c r="O79" s="11"/>
      <c r="P79" s="11"/>
      <c r="Q79" s="11"/>
      <c r="R79" s="11"/>
      <c r="S79" s="11"/>
      <c r="T79" s="8"/>
      <c r="U79" s="11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1"/>
      <c r="B80" s="8"/>
      <c r="C80" s="8"/>
      <c r="D80" s="11"/>
      <c r="E80" s="8"/>
      <c r="F80" s="8"/>
      <c r="G80" s="8"/>
      <c r="H80" s="8"/>
      <c r="I80" s="8"/>
      <c r="J80" s="8"/>
      <c r="K80" s="8"/>
      <c r="L80" s="8"/>
      <c r="M80" s="8"/>
      <c r="N80" s="8"/>
      <c r="O80" s="11"/>
      <c r="P80" s="11"/>
      <c r="Q80" s="11"/>
      <c r="R80" s="11"/>
      <c r="S80" s="11"/>
      <c r="T80" s="8"/>
      <c r="U80" s="11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1"/>
      <c r="B81" s="8"/>
      <c r="C81" s="8"/>
      <c r="D81" s="11"/>
      <c r="E81" s="8"/>
      <c r="F81" s="8"/>
      <c r="G81" s="8"/>
      <c r="H81" s="8"/>
      <c r="I81" s="8"/>
      <c r="J81" s="8"/>
      <c r="K81" s="8"/>
      <c r="L81" s="8"/>
      <c r="M81" s="8"/>
      <c r="N81" s="8"/>
      <c r="O81" s="11"/>
      <c r="P81" s="11"/>
      <c r="Q81" s="11"/>
      <c r="R81" s="11"/>
      <c r="S81" s="11"/>
      <c r="T81" s="8"/>
      <c r="U81" s="11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1"/>
      <c r="B82" s="8"/>
      <c r="C82" s="8"/>
      <c r="D82" s="11"/>
      <c r="E82" s="8"/>
      <c r="F82" s="8"/>
      <c r="G82" s="8"/>
      <c r="H82" s="8"/>
      <c r="I82" s="8"/>
      <c r="J82" s="8"/>
      <c r="K82" s="8"/>
      <c r="L82" s="8"/>
      <c r="M82" s="8"/>
      <c r="N82" s="8"/>
      <c r="O82" s="11"/>
      <c r="P82" s="11"/>
      <c r="Q82" s="11"/>
      <c r="R82" s="11"/>
      <c r="S82" s="11"/>
      <c r="T82" s="8"/>
      <c r="U82" s="11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1"/>
      <c r="B83" s="8"/>
      <c r="C83" s="8"/>
      <c r="D83" s="11"/>
      <c r="E83" s="8"/>
      <c r="F83" s="8"/>
      <c r="G83" s="8"/>
      <c r="H83" s="8"/>
      <c r="I83" s="8"/>
      <c r="J83" s="8"/>
      <c r="K83" s="8"/>
      <c r="L83" s="8"/>
      <c r="M83" s="8"/>
      <c r="N83" s="8"/>
      <c r="O83" s="11"/>
      <c r="P83" s="11"/>
      <c r="Q83" s="11"/>
      <c r="R83" s="11"/>
      <c r="S83" s="11"/>
      <c r="T83" s="8"/>
      <c r="U83" s="11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1"/>
      <c r="B84" s="8"/>
      <c r="C84" s="8"/>
      <c r="D84" s="11"/>
      <c r="E84" s="8"/>
      <c r="F84" s="8"/>
      <c r="G84" s="8"/>
      <c r="H84" s="8"/>
      <c r="I84" s="8"/>
      <c r="J84" s="8"/>
      <c r="K84" s="8"/>
      <c r="L84" s="8"/>
      <c r="M84" s="8"/>
      <c r="N84" s="8"/>
      <c r="O84" s="11"/>
      <c r="P84" s="11"/>
      <c r="Q84" s="11"/>
      <c r="R84" s="11"/>
      <c r="S84" s="11"/>
      <c r="T84" s="8"/>
      <c r="U84" s="11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1"/>
      <c r="B85" s="8"/>
      <c r="C85" s="8"/>
      <c r="D85" s="11"/>
      <c r="E85" s="8"/>
      <c r="F85" s="8"/>
      <c r="G85" s="8"/>
      <c r="H85" s="8"/>
      <c r="I85" s="8"/>
      <c r="J85" s="8"/>
      <c r="K85" s="8"/>
      <c r="L85" s="8"/>
      <c r="M85" s="8"/>
      <c r="N85" s="8"/>
      <c r="O85" s="11"/>
      <c r="P85" s="11"/>
      <c r="Q85" s="11"/>
      <c r="R85" s="11"/>
      <c r="S85" s="11"/>
      <c r="T85" s="8"/>
      <c r="U85" s="11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1"/>
      <c r="B86" s="8"/>
      <c r="C86" s="8"/>
      <c r="D86" s="11"/>
      <c r="E86" s="8"/>
      <c r="F86" s="8"/>
      <c r="G86" s="8"/>
      <c r="H86" s="8"/>
      <c r="I86" s="8"/>
      <c r="J86" s="8"/>
      <c r="K86" s="8"/>
      <c r="L86" s="8"/>
      <c r="M86" s="8"/>
      <c r="N86" s="8"/>
      <c r="O86" s="11"/>
      <c r="P86" s="11"/>
      <c r="Q86" s="11"/>
      <c r="R86" s="11"/>
      <c r="S86" s="11"/>
      <c r="T86" s="8"/>
      <c r="U86" s="11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1"/>
      <c r="B87" s="8"/>
      <c r="C87" s="8"/>
      <c r="D87" s="11"/>
      <c r="E87" s="8"/>
      <c r="F87" s="8"/>
      <c r="G87" s="8"/>
      <c r="H87" s="8"/>
      <c r="I87" s="8"/>
      <c r="J87" s="8"/>
      <c r="K87" s="8"/>
      <c r="L87" s="8"/>
      <c r="M87" s="8"/>
      <c r="N87" s="8"/>
      <c r="O87" s="11"/>
      <c r="P87" s="11"/>
      <c r="Q87" s="11"/>
      <c r="R87" s="11"/>
      <c r="S87" s="11"/>
      <c r="T87" s="8"/>
      <c r="U87" s="11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1"/>
      <c r="B88" s="8"/>
      <c r="C88" s="8"/>
      <c r="D88" s="11"/>
      <c r="E88" s="8"/>
      <c r="F88" s="8"/>
      <c r="G88" s="8"/>
      <c r="H88" s="8"/>
      <c r="I88" s="8"/>
      <c r="J88" s="8"/>
      <c r="K88" s="8"/>
      <c r="L88" s="8"/>
      <c r="M88" s="8"/>
      <c r="N88" s="8"/>
      <c r="O88" s="11"/>
      <c r="P88" s="11"/>
      <c r="Q88" s="11"/>
      <c r="R88" s="11"/>
      <c r="S88" s="11"/>
      <c r="T88" s="8"/>
      <c r="U88" s="11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1"/>
      <c r="B89" s="8"/>
      <c r="C89" s="8"/>
      <c r="D89" s="11"/>
      <c r="E89" s="8"/>
      <c r="F89" s="8"/>
      <c r="G89" s="8"/>
      <c r="H89" s="8"/>
      <c r="I89" s="8"/>
      <c r="J89" s="8"/>
      <c r="K89" s="8"/>
      <c r="L89" s="8"/>
      <c r="M89" s="8"/>
      <c r="N89" s="8"/>
      <c r="O89" s="11"/>
      <c r="P89" s="11"/>
      <c r="Q89" s="11"/>
      <c r="R89" s="11"/>
      <c r="S89" s="11"/>
      <c r="T89" s="8"/>
      <c r="U89" s="11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1"/>
      <c r="B90" s="8"/>
      <c r="C90" s="8"/>
      <c r="D90" s="11"/>
      <c r="E90" s="8"/>
      <c r="F90" s="8"/>
      <c r="G90" s="8"/>
      <c r="H90" s="8"/>
      <c r="I90" s="8"/>
      <c r="J90" s="8"/>
      <c r="K90" s="8"/>
      <c r="L90" s="8"/>
      <c r="M90" s="8"/>
      <c r="N90" s="8"/>
      <c r="O90" s="11"/>
      <c r="P90" s="11"/>
      <c r="Q90" s="11"/>
      <c r="R90" s="11"/>
      <c r="S90" s="11"/>
      <c r="T90" s="8"/>
      <c r="U90" s="11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1"/>
      <c r="B91" s="8"/>
      <c r="C91" s="8"/>
      <c r="D91" s="11"/>
      <c r="E91" s="8"/>
      <c r="F91" s="8"/>
      <c r="G91" s="8"/>
      <c r="H91" s="8"/>
      <c r="I91" s="8"/>
      <c r="J91" s="8"/>
      <c r="K91" s="8"/>
      <c r="L91" s="8"/>
      <c r="M91" s="8"/>
      <c r="N91" s="8"/>
      <c r="O91" s="11"/>
      <c r="P91" s="11"/>
      <c r="Q91" s="11"/>
      <c r="R91" s="11"/>
      <c r="S91" s="11"/>
      <c r="T91" s="8"/>
      <c r="U91" s="11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1"/>
      <c r="B92" s="8"/>
      <c r="C92" s="8"/>
      <c r="D92" s="11"/>
      <c r="E92" s="8"/>
      <c r="F92" s="8"/>
      <c r="G92" s="8"/>
      <c r="H92" s="8"/>
      <c r="I92" s="8"/>
      <c r="J92" s="8"/>
      <c r="K92" s="8"/>
      <c r="L92" s="8"/>
      <c r="M92" s="8"/>
      <c r="N92" s="8"/>
      <c r="O92" s="11"/>
      <c r="P92" s="11"/>
      <c r="Q92" s="11"/>
      <c r="R92" s="11"/>
      <c r="S92" s="11"/>
      <c r="T92" s="8"/>
      <c r="U92" s="11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1"/>
      <c r="B93" s="8"/>
      <c r="C93" s="8"/>
      <c r="D93" s="11"/>
      <c r="E93" s="8"/>
      <c r="F93" s="8"/>
      <c r="G93" s="8"/>
      <c r="H93" s="8"/>
      <c r="I93" s="8"/>
      <c r="J93" s="8"/>
      <c r="K93" s="8"/>
      <c r="L93" s="8"/>
      <c r="M93" s="8"/>
      <c r="N93" s="8"/>
      <c r="O93" s="11"/>
      <c r="P93" s="11"/>
      <c r="Q93" s="11"/>
      <c r="R93" s="11"/>
      <c r="S93" s="11"/>
      <c r="T93" s="8"/>
      <c r="U93" s="11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1"/>
      <c r="B94" s="8"/>
      <c r="C94" s="8"/>
      <c r="D94" s="11"/>
      <c r="E94" s="8"/>
      <c r="F94" s="8"/>
      <c r="G94" s="8"/>
      <c r="H94" s="8"/>
      <c r="I94" s="8"/>
      <c r="J94" s="8"/>
      <c r="K94" s="8"/>
      <c r="L94" s="8"/>
      <c r="M94" s="8"/>
      <c r="N94" s="8"/>
      <c r="O94" s="11"/>
      <c r="P94" s="11"/>
      <c r="Q94" s="11"/>
      <c r="R94" s="11"/>
      <c r="S94" s="11"/>
      <c r="T94" s="8"/>
      <c r="U94" s="11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1"/>
      <c r="B95" s="8"/>
      <c r="C95" s="8"/>
      <c r="D95" s="11"/>
      <c r="E95" s="8"/>
      <c r="F95" s="8"/>
      <c r="G95" s="8"/>
      <c r="H95" s="8"/>
      <c r="I95" s="8"/>
      <c r="J95" s="8"/>
      <c r="K95" s="8"/>
      <c r="L95" s="8"/>
      <c r="M95" s="8"/>
      <c r="N95" s="8"/>
      <c r="O95" s="11"/>
      <c r="P95" s="11"/>
      <c r="Q95" s="11"/>
      <c r="R95" s="11"/>
      <c r="S95" s="11"/>
      <c r="T95" s="8"/>
      <c r="U95" s="11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1"/>
      <c r="B96" s="8"/>
      <c r="C96" s="8"/>
      <c r="D96" s="11"/>
      <c r="E96" s="8"/>
      <c r="F96" s="8"/>
      <c r="G96" s="8"/>
      <c r="H96" s="8"/>
      <c r="I96" s="8"/>
      <c r="J96" s="8"/>
      <c r="K96" s="8"/>
      <c r="L96" s="8"/>
      <c r="M96" s="8"/>
      <c r="N96" s="8"/>
      <c r="O96" s="11"/>
      <c r="P96" s="11"/>
      <c r="Q96" s="11"/>
      <c r="R96" s="11"/>
      <c r="S96" s="11"/>
      <c r="T96" s="8"/>
      <c r="U96" s="11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1"/>
      <c r="B97" s="8"/>
      <c r="C97" s="8"/>
      <c r="D97" s="11"/>
      <c r="E97" s="8"/>
      <c r="F97" s="8"/>
      <c r="G97" s="8"/>
      <c r="H97" s="8"/>
      <c r="I97" s="8"/>
      <c r="J97" s="8"/>
      <c r="K97" s="8"/>
      <c r="L97" s="8"/>
      <c r="M97" s="8"/>
      <c r="N97" s="8"/>
      <c r="O97" s="11"/>
      <c r="P97" s="11"/>
      <c r="Q97" s="11"/>
      <c r="R97" s="11"/>
      <c r="S97" s="11"/>
      <c r="T97" s="8"/>
      <c r="U97" s="11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8"/>
      <c r="C98" s="8"/>
      <c r="D98" s="11"/>
      <c r="E98" s="8"/>
      <c r="F98" s="8"/>
      <c r="G98" s="8"/>
      <c r="H98" s="8"/>
      <c r="I98" s="8"/>
      <c r="J98" s="8"/>
      <c r="K98" s="8"/>
      <c r="L98" s="8"/>
      <c r="M98" s="8"/>
      <c r="N98" s="8"/>
      <c r="O98" s="11"/>
      <c r="P98" s="11"/>
      <c r="Q98" s="11"/>
      <c r="R98" s="11"/>
      <c r="S98" s="11"/>
      <c r="T98" s="8"/>
      <c r="U98" s="11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8"/>
      <c r="C99" s="8"/>
      <c r="D99" s="11"/>
      <c r="E99" s="8"/>
      <c r="F99" s="8"/>
      <c r="G99" s="8"/>
      <c r="H99" s="8"/>
      <c r="I99" s="8"/>
      <c r="J99" s="8"/>
      <c r="K99" s="8"/>
      <c r="L99" s="8"/>
      <c r="M99" s="8"/>
      <c r="N99" s="8"/>
      <c r="O99" s="11"/>
      <c r="P99" s="11"/>
      <c r="Q99" s="11"/>
      <c r="R99" s="11"/>
      <c r="S99" s="11"/>
      <c r="T99" s="8"/>
      <c r="U99" s="11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8"/>
      <c r="C100" s="8"/>
      <c r="D100" s="11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1"/>
      <c r="P100" s="11"/>
      <c r="Q100" s="11"/>
      <c r="R100" s="11"/>
      <c r="S100" s="11"/>
      <c r="T100" s="8"/>
      <c r="U100" s="11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8"/>
      <c r="C101" s="8"/>
      <c r="D101" s="11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1"/>
      <c r="P101" s="11"/>
      <c r="Q101" s="11"/>
      <c r="R101" s="11"/>
      <c r="S101" s="11"/>
      <c r="T101" s="8"/>
      <c r="U101" s="11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8"/>
      <c r="C102" s="8"/>
      <c r="D102" s="11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1"/>
      <c r="P102" s="11"/>
      <c r="Q102" s="11"/>
      <c r="R102" s="11"/>
      <c r="S102" s="11"/>
      <c r="T102" s="8"/>
      <c r="U102" s="11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8"/>
      <c r="C103" s="8"/>
      <c r="D103" s="11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1"/>
      <c r="P103" s="11"/>
      <c r="Q103" s="11"/>
      <c r="R103" s="11"/>
      <c r="S103" s="11"/>
      <c r="T103" s="8"/>
      <c r="U103" s="11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8"/>
      <c r="C104" s="8"/>
      <c r="D104" s="11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1"/>
      <c r="P104" s="11"/>
      <c r="Q104" s="11"/>
      <c r="R104" s="11"/>
      <c r="S104" s="11"/>
      <c r="T104" s="8"/>
      <c r="U104" s="11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8"/>
      <c r="C105" s="8"/>
      <c r="D105" s="11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1"/>
      <c r="P105" s="11"/>
      <c r="Q105" s="11"/>
      <c r="R105" s="11"/>
      <c r="S105" s="11"/>
      <c r="T105" s="8"/>
      <c r="U105" s="11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8"/>
      <c r="C106" s="8"/>
      <c r="D106" s="1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1"/>
      <c r="P106" s="11"/>
      <c r="Q106" s="11"/>
      <c r="R106" s="11"/>
      <c r="S106" s="11"/>
      <c r="T106" s="8"/>
      <c r="U106" s="11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8"/>
      <c r="C107" s="8"/>
      <c r="D107" s="11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1"/>
      <c r="P107" s="11"/>
      <c r="Q107" s="11"/>
      <c r="R107" s="11"/>
      <c r="S107" s="11"/>
      <c r="T107" s="8"/>
      <c r="U107" s="11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8"/>
      <c r="C108" s="8"/>
      <c r="D108" s="11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1"/>
      <c r="P108" s="11"/>
      <c r="Q108" s="11"/>
      <c r="R108" s="11"/>
      <c r="S108" s="11"/>
      <c r="T108" s="8"/>
      <c r="U108" s="11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8"/>
      <c r="C109" s="8"/>
      <c r="D109" s="1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1"/>
      <c r="P109" s="11"/>
      <c r="Q109" s="11"/>
      <c r="R109" s="11"/>
      <c r="S109" s="11"/>
      <c r="T109" s="8"/>
      <c r="U109" s="11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8"/>
      <c r="C110" s="8"/>
      <c r="D110" s="11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1"/>
      <c r="P110" s="11"/>
      <c r="Q110" s="11"/>
      <c r="R110" s="11"/>
      <c r="S110" s="11"/>
      <c r="T110" s="8"/>
      <c r="U110" s="11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8"/>
      <c r="C111" s="8"/>
      <c r="D111" s="11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1"/>
      <c r="P111" s="11"/>
      <c r="Q111" s="11"/>
      <c r="R111" s="11"/>
      <c r="S111" s="11"/>
      <c r="T111" s="8"/>
      <c r="U111" s="11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8"/>
      <c r="C112" s="8"/>
      <c r="D112" s="11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1"/>
      <c r="P112" s="11"/>
      <c r="Q112" s="11"/>
      <c r="R112" s="11"/>
      <c r="S112" s="11"/>
      <c r="T112" s="8"/>
      <c r="U112" s="11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8"/>
      <c r="C113" s="8"/>
      <c r="D113" s="11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1"/>
      <c r="P113" s="11"/>
      <c r="Q113" s="11"/>
      <c r="R113" s="11"/>
      <c r="S113" s="11"/>
      <c r="T113" s="8"/>
      <c r="U113" s="11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8"/>
      <c r="C114" s="8"/>
      <c r="D114" s="11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1"/>
      <c r="P114" s="11"/>
      <c r="Q114" s="11"/>
      <c r="R114" s="11"/>
      <c r="S114" s="11"/>
      <c r="T114" s="8"/>
      <c r="U114" s="11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8"/>
      <c r="C115" s="8"/>
      <c r="D115" s="11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1"/>
      <c r="P115" s="11"/>
      <c r="Q115" s="11"/>
      <c r="R115" s="11"/>
      <c r="S115" s="11"/>
      <c r="T115" s="8"/>
      <c r="U115" s="11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8"/>
      <c r="C116" s="8"/>
      <c r="D116" s="11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1"/>
      <c r="P116" s="11"/>
      <c r="Q116" s="11"/>
      <c r="R116" s="11"/>
      <c r="S116" s="11"/>
      <c r="T116" s="8"/>
      <c r="U116" s="11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8"/>
      <c r="C117" s="8"/>
      <c r="D117" s="11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1"/>
      <c r="P117" s="11"/>
      <c r="Q117" s="11"/>
      <c r="R117" s="11"/>
      <c r="S117" s="11"/>
      <c r="T117" s="8"/>
      <c r="U117" s="11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8"/>
      <c r="C118" s="8"/>
      <c r="D118" s="11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1"/>
      <c r="P118" s="11"/>
      <c r="Q118" s="11"/>
      <c r="R118" s="11"/>
      <c r="S118" s="11"/>
      <c r="T118" s="8"/>
      <c r="U118" s="11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8"/>
      <c r="C119" s="8"/>
      <c r="D119" s="11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1"/>
      <c r="P119" s="11"/>
      <c r="Q119" s="11"/>
      <c r="R119" s="11"/>
      <c r="S119" s="11"/>
      <c r="T119" s="8"/>
      <c r="U119" s="11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8"/>
      <c r="C120" s="8"/>
      <c r="D120" s="11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</sheetData>
  <hyperlinks>
    <hyperlink r:id="rId1" ref="C1"/>
  </hyperlinks>
  <drawing r:id="rId2"/>
</worksheet>
</file>